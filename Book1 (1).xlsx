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M.C\Downloads\"/>
    </mc:Choice>
  </mc:AlternateContent>
  <xr:revisionPtr revIDLastSave="0" documentId="13_ncr:1_{0DD2E305-ECDE-4099-B665-F721AD5AD595}" xr6:coauthVersionLast="36" xr6:coauthVersionMax="36" xr10:uidLastSave="{00000000-0000-0000-0000-000000000000}"/>
  <bookViews>
    <workbookView xWindow="0" yWindow="0" windowWidth="28800" windowHeight="11685" xr2:uid="{D814EFCF-313D-416D-8201-653181B67D7A}"/>
  </bookViews>
  <sheets>
    <sheet name="Final Calculation Sheet" sheetId="1" r:id="rId1"/>
  </sheets>
  <definedNames>
    <definedName name="_xlnm._FilterDatabase" localSheetId="0" hidden="1">'Final Calculation Sheet'!$A$3:$AC$43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2" i="1" l="1"/>
  <c r="I42" i="1"/>
  <c r="H42" i="1"/>
  <c r="L42" i="1" s="1"/>
  <c r="Y41" i="1"/>
  <c r="V41" i="1"/>
  <c r="H41" i="1"/>
  <c r="T40" i="1"/>
  <c r="R40" i="1"/>
  <c r="W40" i="1" s="1"/>
  <c r="N40" i="1"/>
  <c r="M40" i="1"/>
  <c r="O40" i="1" s="1"/>
  <c r="P40" i="1" s="1"/>
  <c r="L40" i="1"/>
  <c r="I40" i="1"/>
  <c r="K40" i="1" s="1"/>
  <c r="T39" i="1"/>
  <c r="S39" i="1"/>
  <c r="Z39" i="1" s="1"/>
  <c r="R39" i="1"/>
  <c r="W39" i="1" s="1"/>
  <c r="N39" i="1"/>
  <c r="M39" i="1"/>
  <c r="O39" i="1" s="1"/>
  <c r="P39" i="1" s="1"/>
  <c r="L39" i="1"/>
  <c r="J39" i="1"/>
  <c r="I39" i="1"/>
  <c r="K39" i="1" s="1"/>
  <c r="T38" i="1"/>
  <c r="S38" i="1"/>
  <c r="Z38" i="1" s="1"/>
  <c r="R38" i="1"/>
  <c r="R41" i="1" s="1"/>
  <c r="R42" i="1" s="1"/>
  <c r="O38" i="1"/>
  <c r="P38" i="1" s="1"/>
  <c r="N38" i="1"/>
  <c r="M38" i="1"/>
  <c r="L38" i="1"/>
  <c r="K38" i="1"/>
  <c r="J38" i="1"/>
  <c r="I38" i="1"/>
  <c r="U37" i="1"/>
  <c r="T37" i="1"/>
  <c r="R37" i="1"/>
  <c r="S37" i="1" s="1"/>
  <c r="Z37" i="1" s="1"/>
  <c r="N37" i="1"/>
  <c r="M37" i="1"/>
  <c r="O37" i="1" s="1"/>
  <c r="P37" i="1" s="1"/>
  <c r="L37" i="1"/>
  <c r="I37" i="1"/>
  <c r="K37" i="1" s="1"/>
  <c r="T36" i="1"/>
  <c r="S36" i="1"/>
  <c r="Z36" i="1" s="1"/>
  <c r="R36" i="1"/>
  <c r="W36" i="1" s="1"/>
  <c r="N36" i="1"/>
  <c r="M36" i="1"/>
  <c r="O36" i="1" s="1"/>
  <c r="P36" i="1" s="1"/>
  <c r="L36" i="1"/>
  <c r="J36" i="1"/>
  <c r="I36" i="1"/>
  <c r="K36" i="1" s="1"/>
  <c r="T35" i="1"/>
  <c r="S35" i="1"/>
  <c r="Z35" i="1" s="1"/>
  <c r="R35" i="1"/>
  <c r="W35" i="1" s="1"/>
  <c r="O35" i="1"/>
  <c r="P35" i="1" s="1"/>
  <c r="N35" i="1"/>
  <c r="M35" i="1"/>
  <c r="L35" i="1"/>
  <c r="K35" i="1"/>
  <c r="J35" i="1"/>
  <c r="I35" i="1"/>
  <c r="W34" i="1"/>
  <c r="T34" i="1"/>
  <c r="S34" i="1"/>
  <c r="Z34" i="1" s="1"/>
  <c r="R34" i="1"/>
  <c r="O34" i="1"/>
  <c r="N34" i="1"/>
  <c r="M34" i="1"/>
  <c r="L34" i="1"/>
  <c r="P34" i="1" s="1"/>
  <c r="K34" i="1"/>
  <c r="J34" i="1"/>
  <c r="I34" i="1"/>
  <c r="U33" i="1"/>
  <c r="T33" i="1"/>
  <c r="S33" i="1"/>
  <c r="Z33" i="1" s="1"/>
  <c r="R33" i="1"/>
  <c r="W33" i="1" s="1"/>
  <c r="N33" i="1"/>
  <c r="M33" i="1"/>
  <c r="O33" i="1" s="1"/>
  <c r="P33" i="1" s="1"/>
  <c r="L33" i="1"/>
  <c r="J33" i="1"/>
  <c r="I33" i="1"/>
  <c r="K33" i="1" s="1"/>
  <c r="U32" i="1"/>
  <c r="T32" i="1"/>
  <c r="R32" i="1"/>
  <c r="S32" i="1" s="1"/>
  <c r="Z32" i="1" s="1"/>
  <c r="O32" i="1"/>
  <c r="N32" i="1"/>
  <c r="M32" i="1"/>
  <c r="L32" i="1"/>
  <c r="P32" i="1" s="1"/>
  <c r="K32" i="1"/>
  <c r="I32" i="1"/>
  <c r="J32" i="1" s="1"/>
  <c r="T31" i="1"/>
  <c r="R31" i="1"/>
  <c r="W31" i="1" s="1"/>
  <c r="N31" i="1"/>
  <c r="M31" i="1"/>
  <c r="O31" i="1" s="1"/>
  <c r="P31" i="1" s="1"/>
  <c r="L31" i="1"/>
  <c r="I31" i="1"/>
  <c r="K31" i="1" s="1"/>
  <c r="T30" i="1"/>
  <c r="U30" i="1" s="1"/>
  <c r="S30" i="1"/>
  <c r="Z30" i="1" s="1"/>
  <c r="R30" i="1"/>
  <c r="W30" i="1" s="1"/>
  <c r="O30" i="1"/>
  <c r="P30" i="1" s="1"/>
  <c r="N30" i="1"/>
  <c r="M30" i="1"/>
  <c r="L30" i="1"/>
  <c r="K30" i="1"/>
  <c r="J30" i="1"/>
  <c r="I30" i="1"/>
  <c r="W29" i="1"/>
  <c r="T29" i="1"/>
  <c r="S29" i="1"/>
  <c r="Z29" i="1" s="1"/>
  <c r="R29" i="1"/>
  <c r="O29" i="1"/>
  <c r="N29" i="1"/>
  <c r="M29" i="1"/>
  <c r="L29" i="1"/>
  <c r="P29" i="1" s="1"/>
  <c r="K29" i="1"/>
  <c r="J29" i="1"/>
  <c r="I29" i="1"/>
  <c r="T28" i="1"/>
  <c r="R28" i="1"/>
  <c r="W28" i="1" s="1"/>
  <c r="N28" i="1"/>
  <c r="M28" i="1"/>
  <c r="O28" i="1" s="1"/>
  <c r="P28" i="1" s="1"/>
  <c r="L28" i="1"/>
  <c r="I28" i="1"/>
  <c r="K28" i="1" s="1"/>
  <c r="T27" i="1"/>
  <c r="S27" i="1"/>
  <c r="Z27" i="1" s="1"/>
  <c r="R27" i="1"/>
  <c r="W27" i="1" s="1"/>
  <c r="N27" i="1"/>
  <c r="M27" i="1"/>
  <c r="O27" i="1" s="1"/>
  <c r="P27" i="1" s="1"/>
  <c r="L27" i="1"/>
  <c r="J27" i="1"/>
  <c r="I27" i="1"/>
  <c r="K27" i="1" s="1"/>
  <c r="U26" i="1"/>
  <c r="T26" i="1"/>
  <c r="S26" i="1"/>
  <c r="Z26" i="1" s="1"/>
  <c r="R26" i="1"/>
  <c r="W26" i="1" s="1"/>
  <c r="O26" i="1"/>
  <c r="N26" i="1"/>
  <c r="M26" i="1"/>
  <c r="L26" i="1"/>
  <c r="P26" i="1" s="1"/>
  <c r="K26" i="1"/>
  <c r="J26" i="1"/>
  <c r="I26" i="1"/>
  <c r="T25" i="1"/>
  <c r="R25" i="1"/>
  <c r="W25" i="1" s="1"/>
  <c r="N25" i="1"/>
  <c r="M25" i="1"/>
  <c r="O25" i="1" s="1"/>
  <c r="P25" i="1" s="1"/>
  <c r="L25" i="1"/>
  <c r="I25" i="1"/>
  <c r="K25" i="1" s="1"/>
  <c r="T24" i="1"/>
  <c r="U24" i="1" s="1"/>
  <c r="S24" i="1"/>
  <c r="Z24" i="1" s="1"/>
  <c r="R24" i="1"/>
  <c r="W24" i="1" s="1"/>
  <c r="O24" i="1"/>
  <c r="P24" i="1" s="1"/>
  <c r="N24" i="1"/>
  <c r="M24" i="1"/>
  <c r="L24" i="1"/>
  <c r="K24" i="1"/>
  <c r="J24" i="1"/>
  <c r="I24" i="1"/>
  <c r="W23" i="1"/>
  <c r="T23" i="1"/>
  <c r="S23" i="1"/>
  <c r="Z23" i="1" s="1"/>
  <c r="R23" i="1"/>
  <c r="O23" i="1"/>
  <c r="N23" i="1"/>
  <c r="M23" i="1"/>
  <c r="L23" i="1"/>
  <c r="P23" i="1" s="1"/>
  <c r="K23" i="1"/>
  <c r="J23" i="1"/>
  <c r="I23" i="1"/>
  <c r="U22" i="1"/>
  <c r="T22" i="1"/>
  <c r="S22" i="1"/>
  <c r="Z22" i="1" s="1"/>
  <c r="R22" i="1"/>
  <c r="W22" i="1" s="1"/>
  <c r="N22" i="1"/>
  <c r="M22" i="1"/>
  <c r="O22" i="1" s="1"/>
  <c r="P22" i="1" s="1"/>
  <c r="L22" i="1"/>
  <c r="J22" i="1"/>
  <c r="I22" i="1"/>
  <c r="K22" i="1" s="1"/>
  <c r="U21" i="1"/>
  <c r="T21" i="1"/>
  <c r="S21" i="1"/>
  <c r="Z21" i="1" s="1"/>
  <c r="R21" i="1"/>
  <c r="W21" i="1" s="1"/>
  <c r="O21" i="1"/>
  <c r="N21" i="1"/>
  <c r="M21" i="1"/>
  <c r="L21" i="1"/>
  <c r="P21" i="1" s="1"/>
  <c r="K21" i="1"/>
  <c r="J21" i="1"/>
  <c r="I21" i="1"/>
  <c r="T20" i="1"/>
  <c r="R20" i="1"/>
  <c r="W20" i="1" s="1"/>
  <c r="N20" i="1"/>
  <c r="M20" i="1"/>
  <c r="O20" i="1" s="1"/>
  <c r="P20" i="1" s="1"/>
  <c r="L20" i="1"/>
  <c r="I20" i="1"/>
  <c r="K20" i="1" s="1"/>
  <c r="T19" i="1"/>
  <c r="U19" i="1" s="1"/>
  <c r="S19" i="1"/>
  <c r="R19" i="1"/>
  <c r="W19" i="1" s="1"/>
  <c r="O19" i="1"/>
  <c r="P19" i="1" s="1"/>
  <c r="N19" i="1"/>
  <c r="M19" i="1"/>
  <c r="L19" i="1"/>
  <c r="K19" i="1"/>
  <c r="J19" i="1"/>
  <c r="I19" i="1"/>
  <c r="U18" i="1"/>
  <c r="T18" i="1"/>
  <c r="R18" i="1"/>
  <c r="W18" i="1" s="1"/>
  <c r="N18" i="1"/>
  <c r="M18" i="1"/>
  <c r="O18" i="1" s="1"/>
  <c r="P18" i="1" s="1"/>
  <c r="L18" i="1"/>
  <c r="I18" i="1"/>
  <c r="K18" i="1" s="1"/>
  <c r="T17" i="1"/>
  <c r="S17" i="1"/>
  <c r="Z17" i="1" s="1"/>
  <c r="R17" i="1"/>
  <c r="W17" i="1" s="1"/>
  <c r="X17" i="1" s="1"/>
  <c r="O17" i="1"/>
  <c r="P17" i="1" s="1"/>
  <c r="N17" i="1"/>
  <c r="M17" i="1"/>
  <c r="L17" i="1"/>
  <c r="K17" i="1"/>
  <c r="J17" i="1"/>
  <c r="I17" i="1"/>
  <c r="W16" i="1"/>
  <c r="T16" i="1"/>
  <c r="S16" i="1"/>
  <c r="Z16" i="1" s="1"/>
  <c r="R16" i="1"/>
  <c r="O16" i="1"/>
  <c r="N16" i="1"/>
  <c r="M16" i="1"/>
  <c r="L16" i="1"/>
  <c r="P16" i="1" s="1"/>
  <c r="K16" i="1"/>
  <c r="J16" i="1"/>
  <c r="I16" i="1"/>
  <c r="T15" i="1"/>
  <c r="R15" i="1"/>
  <c r="W15" i="1" s="1"/>
  <c r="N15" i="1"/>
  <c r="M15" i="1"/>
  <c r="O15" i="1" s="1"/>
  <c r="P15" i="1" s="1"/>
  <c r="L15" i="1"/>
  <c r="I15" i="1"/>
  <c r="K15" i="1" s="1"/>
  <c r="T14" i="1"/>
  <c r="U14" i="1" s="1"/>
  <c r="S14" i="1"/>
  <c r="R14" i="1"/>
  <c r="W14" i="1" s="1"/>
  <c r="O14" i="1"/>
  <c r="P14" i="1" s="1"/>
  <c r="N14" i="1"/>
  <c r="M14" i="1"/>
  <c r="L14" i="1"/>
  <c r="K14" i="1"/>
  <c r="J14" i="1"/>
  <c r="I14" i="1"/>
  <c r="W13" i="1"/>
  <c r="T13" i="1"/>
  <c r="S13" i="1"/>
  <c r="Z13" i="1" s="1"/>
  <c r="R13" i="1"/>
  <c r="O13" i="1"/>
  <c r="N13" i="1"/>
  <c r="M13" i="1"/>
  <c r="L13" i="1"/>
  <c r="P13" i="1" s="1"/>
  <c r="K13" i="1"/>
  <c r="J13" i="1"/>
  <c r="I13" i="1"/>
  <c r="U12" i="1"/>
  <c r="T12" i="1"/>
  <c r="S12" i="1"/>
  <c r="Z12" i="1" s="1"/>
  <c r="R12" i="1"/>
  <c r="W12" i="1" s="1"/>
  <c r="N12" i="1"/>
  <c r="M12" i="1"/>
  <c r="O12" i="1" s="1"/>
  <c r="P12" i="1" s="1"/>
  <c r="L12" i="1"/>
  <c r="J12" i="1"/>
  <c r="I12" i="1"/>
  <c r="K12" i="1" s="1"/>
  <c r="U11" i="1"/>
  <c r="T11" i="1"/>
  <c r="S11" i="1"/>
  <c r="Z11" i="1" s="1"/>
  <c r="R11" i="1"/>
  <c r="W11" i="1" s="1"/>
  <c r="O11" i="1"/>
  <c r="N11" i="1"/>
  <c r="M11" i="1"/>
  <c r="L11" i="1"/>
  <c r="P11" i="1" s="1"/>
  <c r="K11" i="1"/>
  <c r="J11" i="1"/>
  <c r="I11" i="1"/>
  <c r="U10" i="1"/>
  <c r="T10" i="1"/>
  <c r="S10" i="1"/>
  <c r="Z10" i="1" s="1"/>
  <c r="R10" i="1"/>
  <c r="W10" i="1" s="1"/>
  <c r="N10" i="1"/>
  <c r="M10" i="1"/>
  <c r="O10" i="1" s="1"/>
  <c r="P10" i="1" s="1"/>
  <c r="L10" i="1"/>
  <c r="J10" i="1"/>
  <c r="I10" i="1"/>
  <c r="K10" i="1" s="1"/>
  <c r="U9" i="1"/>
  <c r="T9" i="1"/>
  <c r="S9" i="1"/>
  <c r="R9" i="1"/>
  <c r="W9" i="1" s="1"/>
  <c r="O9" i="1"/>
  <c r="N9" i="1"/>
  <c r="M9" i="1"/>
  <c r="L9" i="1"/>
  <c r="P9" i="1" s="1"/>
  <c r="K9" i="1"/>
  <c r="J9" i="1"/>
  <c r="I9" i="1"/>
  <c r="Z8" i="1"/>
  <c r="U8" i="1"/>
  <c r="T8" i="1"/>
  <c r="S8" i="1"/>
  <c r="R8" i="1"/>
  <c r="W8" i="1" s="1"/>
  <c r="N8" i="1"/>
  <c r="M8" i="1"/>
  <c r="O8" i="1" s="1"/>
  <c r="P8" i="1" s="1"/>
  <c r="L8" i="1"/>
  <c r="J8" i="1"/>
  <c r="I8" i="1"/>
  <c r="K8" i="1" s="1"/>
  <c r="W7" i="1"/>
  <c r="X7" i="1" s="1"/>
  <c r="T7" i="1"/>
  <c r="S7" i="1"/>
  <c r="Z7" i="1" s="1"/>
  <c r="R7" i="1"/>
  <c r="O7" i="1"/>
  <c r="N7" i="1"/>
  <c r="M7" i="1"/>
  <c r="L7" i="1"/>
  <c r="P7" i="1" s="1"/>
  <c r="K7" i="1"/>
  <c r="J7" i="1"/>
  <c r="I7" i="1"/>
  <c r="T6" i="1"/>
  <c r="S6" i="1"/>
  <c r="Z6" i="1" s="1"/>
  <c r="R6" i="1"/>
  <c r="W6" i="1" s="1"/>
  <c r="X6" i="1" s="1"/>
  <c r="N6" i="1"/>
  <c r="M6" i="1"/>
  <c r="L6" i="1"/>
  <c r="J6" i="1"/>
  <c r="I6" i="1"/>
  <c r="K6" i="1" s="1"/>
  <c r="U5" i="1"/>
  <c r="T5" i="1"/>
  <c r="T41" i="1" s="1"/>
  <c r="S5" i="1"/>
  <c r="Z5" i="1" s="1"/>
  <c r="R5" i="1"/>
  <c r="W5" i="1" s="1"/>
  <c r="O5" i="1"/>
  <c r="N5" i="1"/>
  <c r="M5" i="1"/>
  <c r="L5" i="1"/>
  <c r="P5" i="1" s="1"/>
  <c r="K5" i="1"/>
  <c r="J5" i="1"/>
  <c r="I5" i="1"/>
  <c r="T4" i="1"/>
  <c r="R4" i="1"/>
  <c r="N4" i="1"/>
  <c r="N41" i="1" s="1"/>
  <c r="M4" i="1"/>
  <c r="L4" i="1"/>
  <c r="L41" i="1" s="1"/>
  <c r="I4" i="1"/>
  <c r="M41" i="1" l="1"/>
  <c r="O4" i="1"/>
  <c r="U41" i="1"/>
  <c r="O6" i="1"/>
  <c r="P6" i="1" s="1"/>
  <c r="Z14" i="1"/>
  <c r="Z19" i="1"/>
  <c r="U42" i="1"/>
  <c r="Z9" i="1"/>
  <c r="I41" i="1"/>
  <c r="K4" i="1"/>
  <c r="K41" i="1" s="1"/>
  <c r="J4" i="1"/>
  <c r="W4" i="1"/>
  <c r="W41" i="1" s="1"/>
  <c r="X42" i="1" s="1"/>
  <c r="S4" i="1"/>
  <c r="X41" i="1"/>
  <c r="W37" i="1"/>
  <c r="J15" i="1"/>
  <c r="S15" i="1"/>
  <c r="Z15" i="1" s="1"/>
  <c r="J18" i="1"/>
  <c r="S18" i="1"/>
  <c r="Z18" i="1" s="1"/>
  <c r="J20" i="1"/>
  <c r="S20" i="1"/>
  <c r="Z20" i="1" s="1"/>
  <c r="J25" i="1"/>
  <c r="S25" i="1"/>
  <c r="Z25" i="1" s="1"/>
  <c r="J28" i="1"/>
  <c r="S28" i="1"/>
  <c r="Z28" i="1" s="1"/>
  <c r="J31" i="1"/>
  <c r="S31" i="1"/>
  <c r="Z31" i="1" s="1"/>
  <c r="W32" i="1"/>
  <c r="J37" i="1"/>
  <c r="W38" i="1"/>
  <c r="J40" i="1"/>
  <c r="S40" i="1"/>
  <c r="Z40" i="1" s="1"/>
  <c r="J42" i="1"/>
  <c r="N42" i="1"/>
  <c r="O42" i="1" s="1"/>
  <c r="P42" i="1" s="1"/>
  <c r="S42" i="1"/>
  <c r="K42" i="1"/>
  <c r="J41" i="1" l="1"/>
  <c r="P4" i="1"/>
  <c r="P41" i="1" s="1"/>
  <c r="O41" i="1"/>
  <c r="S41" i="1"/>
  <c r="Z4" i="1"/>
  <c r="Z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S.M.C</author>
  </authors>
  <commentList>
    <comment ref="Z6" authorId="0" shapeId="0" xr:uid="{161C9125-7F88-40E7-9933-E9CB6132685E}">
      <text>
        <r>
          <rPr>
            <b/>
            <sz val="9"/>
            <color indexed="81"/>
            <rFont val="Tahoma"/>
            <family val="2"/>
          </rPr>
          <t>GST TDS not Deducted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7" authorId="0" shapeId="0" xr:uid="{267D2E58-9CC5-47BA-9EE2-3E101D7F261D}">
      <text>
        <r>
          <rPr>
            <b/>
            <sz val="9"/>
            <color indexed="81"/>
            <rFont val="Tahoma"/>
            <family val="2"/>
          </rPr>
          <t>GST TDS not Deducted</t>
        </r>
      </text>
    </comment>
    <comment ref="Z31" authorId="0" shapeId="0" xr:uid="{9E13A3DC-6060-43C2-8700-8D339B75418C}">
      <text>
        <r>
          <rPr>
            <b/>
            <sz val="9"/>
            <color indexed="81"/>
            <rFont val="Tahoma"/>
            <family val="2"/>
          </rPr>
          <t>GST TDS not deducted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<sst xmlns="http://schemas.openxmlformats.org/spreadsheetml/2006/main" count="276" uniqueCount="118">
  <si>
    <t>MSTC LIMITED - COMBINED BID SHEET (Auctions 21977, 21978, 21979, 21980)</t>
  </si>
  <si>
    <t>Quantity</t>
  </si>
  <si>
    <t>Lot Name</t>
  </si>
  <si>
    <t>Rate</t>
  </si>
  <si>
    <t>Bid Sheet</t>
  </si>
  <si>
    <t>Unit</t>
  </si>
  <si>
    <t>Lot No.</t>
  </si>
  <si>
    <t>Buyer</t>
  </si>
  <si>
    <t>Mat. Value</t>
  </si>
  <si>
    <t>GST</t>
  </si>
  <si>
    <t>Mat. Value + GST</t>
  </si>
  <si>
    <t>TCS</t>
  </si>
  <si>
    <t>TDS u/s 194(O)</t>
  </si>
  <si>
    <t>Service Charge
to MSTC</t>
  </si>
  <si>
    <t>TDS u/s 194(H)</t>
  </si>
  <si>
    <t>Net Service Charge
(post TDS 194H)</t>
  </si>
  <si>
    <t>Service charge to MSTC</t>
  </si>
  <si>
    <t>GST TDS Rate</t>
  </si>
  <si>
    <t>GST TDS</t>
  </si>
  <si>
    <t>Total Receivables in Cash</t>
  </si>
  <si>
    <t>Security Deposit (Expected)</t>
  </si>
  <si>
    <t>Security Deposit (Received)</t>
  </si>
  <si>
    <t>Date of Receipt</t>
  </si>
  <si>
    <t>Final Payment (Expected)</t>
  </si>
  <si>
    <t>Final Payment (Received)</t>
  </si>
  <si>
    <t>Short/(Excess) Payment</t>
  </si>
  <si>
    <t xml:space="preserve">Invoice No. </t>
  </si>
  <si>
    <t>SAP Document</t>
  </si>
  <si>
    <t>Doc./Invoice Date</t>
  </si>
  <si>
    <t>SCRAP COPPER OF T/F WINDING (Oil impregnated paper insulated T/F winding)</t>
  </si>
  <si>
    <t>KG</t>
  </si>
  <si>
    <t>AL HAMD TRADE CORPORATION</t>
  </si>
  <si>
    <t>24.08.2026</t>
  </si>
  <si>
    <t>18.08.2026</t>
  </si>
  <si>
    <t>DR2640100029</t>
  </si>
  <si>
    <t>Scrap of Empty oil drum</t>
  </si>
  <si>
    <t>NO</t>
  </si>
  <si>
    <t>NATIONAL ENTERPRISES</t>
  </si>
  <si>
    <t>13.08.2026</t>
  </si>
  <si>
    <t>DR2640100030</t>
  </si>
  <si>
    <t>27.08.2026</t>
  </si>
  <si>
    <t>Scrap of Copper of faulty AC compressor</t>
  </si>
  <si>
    <t>F R KHANS ENTERPRISES</t>
  </si>
  <si>
    <t>11.08.2026</t>
  </si>
  <si>
    <t>20.08.2026</t>
  </si>
  <si>
    <t>DR2640100047</t>
  </si>
  <si>
    <t>Scrap of MS (extracted from equip cage and empty Sf6 gas cylinder)</t>
  </si>
  <si>
    <t>DR2640100048</t>
  </si>
  <si>
    <t>SCRAP ACSR CONDUCTORS (Conductor Pieces)</t>
  </si>
  <si>
    <t>OMKAR STEELS</t>
  </si>
  <si>
    <t>14.08.2026</t>
  </si>
  <si>
    <t>DR2640100045</t>
  </si>
  <si>
    <t>Scrap Power Transformer</t>
  </si>
  <si>
    <t>SHAR JAHAN TRADERS</t>
  </si>
  <si>
    <t>DR2640100023</t>
  </si>
  <si>
    <t>17.08.2026</t>
  </si>
  <si>
    <t>Scrap of 132 KV CT</t>
  </si>
  <si>
    <t>DR2640100031</t>
  </si>
  <si>
    <t>Scrap of 145 KV CB</t>
  </si>
  <si>
    <t>DR2640100032</t>
  </si>
  <si>
    <t>Scrap of 220KV CT</t>
  </si>
  <si>
    <t>DR2640100033</t>
  </si>
  <si>
    <t>Scrap of empty oil drums</t>
  </si>
  <si>
    <t>STERLING ENTERPRISES</t>
  </si>
  <si>
    <t>DR2640100018</t>
  </si>
  <si>
    <t>SCRAP POWER TRANSFORMER</t>
  </si>
  <si>
    <t>DR2640100024</t>
  </si>
  <si>
    <t>Scrap of empty oil Druam</t>
  </si>
  <si>
    <t>HIND TRADERS</t>
  </si>
  <si>
    <t>DR2640100026</t>
  </si>
  <si>
    <t>Scrap of empty oil Barrel</t>
  </si>
  <si>
    <t>DR2640100019</t>
  </si>
  <si>
    <t>Scrap of empty oil Barrels</t>
  </si>
  <si>
    <t>DR2640100020</t>
  </si>
  <si>
    <t>Scrap of 220 KV Circuit Breaker</t>
  </si>
  <si>
    <t>DR2640100034</t>
  </si>
  <si>
    <t>DR2640100035</t>
  </si>
  <si>
    <t>SCRAP 80MM² AAAC EARTHWIRE</t>
  </si>
  <si>
    <t>10.08.2026</t>
  </si>
  <si>
    <t>DR2640100017</t>
  </si>
  <si>
    <t>12.08.2026</t>
  </si>
  <si>
    <t>NATIONAL SCRAP AND BUILDING MATERIAL SUPPLIER</t>
  </si>
  <si>
    <t>21.08.2026</t>
  </si>
  <si>
    <t>DR2640100028</t>
  </si>
  <si>
    <t>DR2640100044</t>
  </si>
  <si>
    <t>DR2640100021</t>
  </si>
  <si>
    <t>DR2640100036</t>
  </si>
  <si>
    <t>Scrap Empty Oil Drum/ Barrel</t>
  </si>
  <si>
    <t>WATAN SCRAP TRADERS</t>
  </si>
  <si>
    <t>DR2640100042</t>
  </si>
  <si>
    <t>Scrap of 132 KV Wave Trap</t>
  </si>
  <si>
    <t>DR2640100037</t>
  </si>
  <si>
    <t>Mix Scrap (Tower angles &amp; 0.2 ACSR Condutor pieces)</t>
  </si>
  <si>
    <t>MT</t>
  </si>
  <si>
    <t>M I SCRAP TRADERS</t>
  </si>
  <si>
    <t>DR2640100043</t>
  </si>
  <si>
    <t>Scrap of 33 KV CT</t>
  </si>
  <si>
    <t>DR2640100038</t>
  </si>
  <si>
    <t>Scrap of AAAC Earth wire</t>
  </si>
  <si>
    <t>SAHARA ENTERPRISES</t>
  </si>
  <si>
    <t>DR2640100041</t>
  </si>
  <si>
    <t>Scrap of 220 KV CT</t>
  </si>
  <si>
    <t>DR2640100039</t>
  </si>
  <si>
    <t>Scrap of 33 KV GCB</t>
  </si>
  <si>
    <t>DR2640100046</t>
  </si>
  <si>
    <t>Scrap of Empty oil Barrels</t>
  </si>
  <si>
    <t>DR2640100022</t>
  </si>
  <si>
    <t>DR2640100027</t>
  </si>
  <si>
    <t>Scrap of 33 KV CB</t>
  </si>
  <si>
    <t>Scrap of 66 KV Isolater</t>
  </si>
  <si>
    <t>DR2640100040</t>
  </si>
  <si>
    <t>KASHYAP TRADING CO</t>
  </si>
  <si>
    <t>DR2640100025</t>
  </si>
  <si>
    <t>19.08.2026</t>
  </si>
  <si>
    <t>Scrap of 66 kv TBC C &amp; R Panel</t>
  </si>
  <si>
    <t>S M ENTERPRISES</t>
  </si>
  <si>
    <t>Bal SD O/s</t>
  </si>
  <si>
    <t>Bal FP O/s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</si>
</sst>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;\(#,##0\)"/>
    <numFmt numFmtId="165" formatCode="_ * #,##0_ ;_ * \-#,##0_ ;_ * &quot;-&quot;??_ ;_ @_ "/>
  </numFmts>
  <fonts count="1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Arial"/>
      <family val="2"/>
    </font>
    <font>
      <b/>
      <sz val="9.5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rgb="FFD9E1F2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right" vertical="center" wrapText="1"/>
    </xf>
    <xf numFmtId="164" fontId="7" fillId="0" borderId="5" xfId="0" applyNumberFormat="1" applyFont="1" applyBorder="1" applyAlignment="1">
      <alignment horizontal="right" vertical="center"/>
    </xf>
    <xf numFmtId="3" fontId="7" fillId="0" borderId="5" xfId="0" applyNumberFormat="1" applyFont="1" applyBorder="1" applyAlignment="1">
      <alignment horizontal="right" vertical="center"/>
    </xf>
    <xf numFmtId="9" fontId="7" fillId="0" borderId="5" xfId="0" applyNumberFormat="1" applyFont="1" applyBorder="1" applyAlignment="1">
      <alignment horizontal="right" vertical="center"/>
    </xf>
    <xf numFmtId="165" fontId="8" fillId="3" borderId="5" xfId="1" applyNumberFormat="1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/>
    </xf>
    <xf numFmtId="3" fontId="7" fillId="0" borderId="7" xfId="0" applyNumberFormat="1" applyFont="1" applyBorder="1" applyAlignment="1">
      <alignment horizontal="right" vertical="center"/>
    </xf>
    <xf numFmtId="9" fontId="7" fillId="0" borderId="7" xfId="0" applyNumberFormat="1" applyFont="1" applyBorder="1" applyAlignment="1">
      <alignment horizontal="right" vertical="center"/>
    </xf>
    <xf numFmtId="165" fontId="8" fillId="3" borderId="7" xfId="1" applyNumberFormat="1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164" fontId="7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right" vertical="center" wrapText="1"/>
    </xf>
    <xf numFmtId="164" fontId="7" fillId="0" borderId="10" xfId="0" applyNumberFormat="1" applyFont="1" applyBorder="1" applyAlignment="1">
      <alignment horizontal="right" vertical="center"/>
    </xf>
    <xf numFmtId="3" fontId="7" fillId="0" borderId="10" xfId="0" applyNumberFormat="1" applyFont="1" applyBorder="1" applyAlignment="1">
      <alignment horizontal="right" vertical="center"/>
    </xf>
    <xf numFmtId="9" fontId="7" fillId="0" borderId="10" xfId="0" applyNumberFormat="1" applyFont="1" applyBorder="1" applyAlignment="1">
      <alignment horizontal="right" vertical="center"/>
    </xf>
    <xf numFmtId="165" fontId="8" fillId="3" borderId="10" xfId="1" applyNumberFormat="1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164" fontId="7" fillId="0" borderId="12" xfId="0" applyNumberFormat="1" applyFont="1" applyBorder="1" applyAlignment="1">
      <alignment horizontal="right" vertical="center" wrapText="1"/>
    </xf>
    <xf numFmtId="164" fontId="7" fillId="0" borderId="12" xfId="0" applyNumberFormat="1" applyFon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7" fillId="0" borderId="15" xfId="0" applyNumberFormat="1" applyFont="1" applyBorder="1" applyAlignment="1">
      <alignment horizontal="right" vertical="center" wrapText="1"/>
    </xf>
    <xf numFmtId="164" fontId="7" fillId="0" borderId="15" xfId="0" applyNumberFormat="1" applyFont="1" applyBorder="1" applyAlignment="1">
      <alignment horizontal="right" vertical="center"/>
    </xf>
    <xf numFmtId="3" fontId="7" fillId="0" borderId="15" xfId="0" applyNumberFormat="1" applyFont="1" applyBorder="1" applyAlignment="1">
      <alignment horizontal="right" vertical="center"/>
    </xf>
    <xf numFmtId="164" fontId="8" fillId="0" borderId="15" xfId="0" applyNumberFormat="1" applyFont="1" applyBorder="1" applyAlignment="1"/>
    <xf numFmtId="165" fontId="8" fillId="3" borderId="15" xfId="1" applyNumberFormat="1" applyFont="1" applyFill="1" applyBorder="1" applyAlignment="1">
      <alignment horizontal="right" vertical="center"/>
    </xf>
    <xf numFmtId="164" fontId="0" fillId="0" borderId="15" xfId="0" applyNumberFormat="1" applyBorder="1" applyAlignment="1"/>
    <xf numFmtId="0" fontId="0" fillId="0" borderId="16" xfId="0" applyBorder="1"/>
    <xf numFmtId="164" fontId="0" fillId="0" borderId="0" xfId="0" applyNumberFormat="1"/>
    <xf numFmtId="0" fontId="0" fillId="0" borderId="0" xfId="0" applyAlignment="1">
      <alignment wrapText="1"/>
    </xf>
    <xf numFmtId="0" fontId="0" fillId="3" borderId="0" xfId="0" applyFill="1" applyBorder="1" applyAlignment="1">
      <alignment horizontal="right" vertical="center"/>
    </xf>
    <xf numFmtId="0" fontId="0" fillId="3" borderId="0" xfId="0" applyFill="1"/>
    <xf numFmtId="0" fontId="0" fillId="0" borderId="0" xfId="0" applyBorder="1" applyAlignment="1">
      <alignment horizontal="right"/>
    </xf>
    <xf numFmtId="164" fontId="0" fillId="3" borderId="0" xfId="0" applyNumberFormat="1" applyFill="1"/>
    <xf numFmtId="164" fontId="7" fillId="3" borderId="5" xfId="0" applyNumberFormat="1" applyFont="1" applyFill="1" applyBorder="1" applyAlignment="1">
      <alignment horizontal="right" vertical="center"/>
    </xf>
    <xf numFmtId="164" fontId="7" fillId="3" borderId="7" xfId="0" applyNumberFormat="1" applyFont="1" applyFill="1" applyBorder="1" applyAlignment="1">
      <alignment horizontal="right" vertical="center"/>
    </xf>
    <xf numFmtId="164" fontId="7" fillId="3" borderId="8" xfId="0" applyNumberFormat="1" applyFont="1" applyFill="1" applyBorder="1" applyAlignment="1">
      <alignment horizontal="right" vertical="center"/>
    </xf>
    <xf numFmtId="1" fontId="7" fillId="3" borderId="7" xfId="0" applyNumberFormat="1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B416-08C7-4F0C-8026-D257DB6EDB8A}">
  <dimension ref="A1:AC51"/>
  <sheetViews>
    <sheetView showGridLines="0" tabSelected="1" zoomScale="85" zoomScaleNormal="85" workbookViewId="0">
      <pane xSplit="7" ySplit="3" topLeftCell="I4" activePane="bottomRight" state="frozen"/>
      <selection activeCell="D1" sqref="D1"/>
      <selection pane="topRight" activeCell="I1" sqref="I1"/>
      <selection pane="bottomLeft" activeCell="D7" sqref="D7"/>
      <selection pane="bottomRight" activeCell="T13" sqref="T13"/>
    </sheetView>
  </sheetViews>
  <sheetFormatPr defaultColWidth="8.7109375" defaultRowHeight="15" x14ac:dyDescent="0.25"/>
  <cols>
    <col min="1" max="1" width="8.7109375" customWidth="1"/>
    <col min="2" max="2" width="29.42578125" customWidth="1"/>
    <col min="3" max="3" width="9.140625" customWidth="1"/>
    <col min="4" max="4" width="9.42578125" bestFit="1" customWidth="1"/>
    <col min="5" max="5" width="4.85546875" bestFit="1" customWidth="1"/>
    <col min="6" max="6" width="7.28515625" bestFit="1" customWidth="1"/>
    <col min="7" max="7" width="25" bestFit="1" customWidth="1"/>
    <col min="8" max="8" width="10.7109375" customWidth="1"/>
    <col min="9" max="9" width="9.140625" customWidth="1"/>
    <col min="10" max="10" width="12.140625" customWidth="1"/>
    <col min="11" max="11" width="8.140625" customWidth="1"/>
    <col min="12" max="12" width="6.85546875" customWidth="1"/>
    <col min="13" max="13" width="8.28515625" customWidth="1"/>
    <col min="14" max="14" width="6.7109375" customWidth="1"/>
    <col min="15" max="15" width="9.140625" customWidth="1"/>
    <col min="16" max="16" width="8.28515625" style="52" customWidth="1"/>
    <col min="17" max="17" width="8.140625" style="52" customWidth="1"/>
    <col min="18" max="18" width="8.140625" customWidth="1"/>
    <col min="19" max="19" width="11.5703125" customWidth="1"/>
    <col min="20" max="20" width="9.85546875" customWidth="1"/>
    <col min="21" max="21" width="10" style="54" customWidth="1"/>
    <col min="22" max="22" width="10.140625" style="54" customWidth="1"/>
    <col min="23" max="23" width="10.7109375" customWidth="1"/>
    <col min="24" max="24" width="10.5703125" customWidth="1"/>
    <col min="25" max="25" width="10.140625" customWidth="1"/>
    <col min="26" max="26" width="11.5703125" customWidth="1"/>
    <col min="27" max="27" width="13.7109375" bestFit="1" customWidth="1"/>
    <col min="28" max="28" width="14.140625" bestFit="1" customWidth="1"/>
    <col min="29" max="29" width="10.140625" bestFit="1" customWidth="1"/>
  </cols>
  <sheetData>
    <row r="1" spans="1:29" ht="15.75" customHeight="1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.45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60.75" thickBot="1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4" t="s">
        <v>11</v>
      </c>
      <c r="L3" s="5" t="s">
        <v>12</v>
      </c>
      <c r="M3" s="5" t="s">
        <v>13</v>
      </c>
      <c r="N3" s="5" t="s">
        <v>14</v>
      </c>
      <c r="O3" s="6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7" t="s">
        <v>23</v>
      </c>
      <c r="X3" s="5" t="s">
        <v>24</v>
      </c>
      <c r="Y3" s="5" t="s">
        <v>22</v>
      </c>
      <c r="Z3" s="8" t="s">
        <v>25</v>
      </c>
      <c r="AA3" s="5" t="s">
        <v>26</v>
      </c>
      <c r="AB3" s="5" t="s">
        <v>27</v>
      </c>
      <c r="AC3" s="9" t="s">
        <v>28</v>
      </c>
    </row>
    <row r="4" spans="1:29" ht="38.25" x14ac:dyDescent="0.25">
      <c r="A4" s="10">
        <v>669</v>
      </c>
      <c r="B4" s="11" t="s">
        <v>29</v>
      </c>
      <c r="C4" s="12">
        <v>1181</v>
      </c>
      <c r="D4" s="13">
        <v>21980</v>
      </c>
      <c r="E4" s="13" t="s">
        <v>30</v>
      </c>
      <c r="F4" s="13">
        <v>1763</v>
      </c>
      <c r="G4" s="11" t="s">
        <v>31</v>
      </c>
      <c r="H4" s="14">
        <v>790089</v>
      </c>
      <c r="I4" s="14">
        <f t="shared" ref="I4:I40" si="0">ROUND(H4*18%,0)</f>
        <v>142216</v>
      </c>
      <c r="J4" s="14">
        <f t="shared" ref="J4:J40" si="1">+H4+I4</f>
        <v>932305</v>
      </c>
      <c r="K4" s="14">
        <f t="shared" ref="K4:K40" si="2">ROUND((H4+I4)*2%,0)</f>
        <v>18646</v>
      </c>
      <c r="L4" s="15">
        <f t="shared" ref="L4:L40" si="3">H4*0.1%</f>
        <v>790.08900000000006</v>
      </c>
      <c r="M4" s="15">
        <f t="shared" ref="M4:M40" si="4">H4*2.25%*118%</f>
        <v>20976.862949999999</v>
      </c>
      <c r="N4" s="16">
        <f t="shared" ref="N4:N40" si="5">H4*2.25%*2%</f>
        <v>355.54005000000001</v>
      </c>
      <c r="O4" s="15">
        <f t="shared" ref="O4:O40" si="6">M4-N4</f>
        <v>20621.322899999999</v>
      </c>
      <c r="P4" s="15">
        <f t="shared" ref="P4:P40" si="7">ROUND(O4+L4,0)</f>
        <v>21411</v>
      </c>
      <c r="Q4" s="17">
        <v>0.02</v>
      </c>
      <c r="R4" s="15">
        <f t="shared" ref="R4:R40" si="8">ROUND(H4*Q4,0)</f>
        <v>15802</v>
      </c>
      <c r="S4" s="14">
        <f t="shared" ref="S4:S40" si="9">ROUND(H4*117.65%-R4,0)</f>
        <v>913738</v>
      </c>
      <c r="T4" s="15">
        <f t="shared" ref="T4:T40" si="10">ROUND(H4*25%,0)</f>
        <v>197522</v>
      </c>
      <c r="U4" s="18">
        <v>197522</v>
      </c>
      <c r="V4" s="15" t="s">
        <v>32</v>
      </c>
      <c r="W4" s="15">
        <f t="shared" ref="W4:W40" si="11">ROUND(H4*92.65%-R4,0)</f>
        <v>716215</v>
      </c>
      <c r="X4" s="15">
        <v>716216</v>
      </c>
      <c r="Y4" s="15" t="s">
        <v>33</v>
      </c>
      <c r="Z4" s="57">
        <f t="shared" ref="Z4:Z40" si="12">+S4-U4-X4</f>
        <v>0</v>
      </c>
      <c r="AA4" s="58" t="s">
        <v>34</v>
      </c>
      <c r="AB4" s="60">
        <v>1800003271</v>
      </c>
      <c r="AC4" s="59" t="s">
        <v>32</v>
      </c>
    </row>
    <row r="5" spans="1:29" x14ac:dyDescent="0.25">
      <c r="A5" s="19">
        <v>270</v>
      </c>
      <c r="B5" s="20" t="s">
        <v>35</v>
      </c>
      <c r="C5" s="21">
        <v>580</v>
      </c>
      <c r="D5" s="22">
        <v>21977</v>
      </c>
      <c r="E5" s="22" t="s">
        <v>36</v>
      </c>
      <c r="F5" s="22">
        <v>1874</v>
      </c>
      <c r="G5" s="20" t="s">
        <v>37</v>
      </c>
      <c r="H5" s="23">
        <v>156600</v>
      </c>
      <c r="I5" s="23">
        <f t="shared" si="0"/>
        <v>28188</v>
      </c>
      <c r="J5" s="23">
        <f t="shared" si="1"/>
        <v>184788</v>
      </c>
      <c r="K5" s="23">
        <f t="shared" si="2"/>
        <v>3696</v>
      </c>
      <c r="L5" s="24">
        <f t="shared" si="3"/>
        <v>156.6</v>
      </c>
      <c r="M5" s="24">
        <f t="shared" si="4"/>
        <v>4157.7299999999996</v>
      </c>
      <c r="N5" s="25">
        <f t="shared" si="5"/>
        <v>70.47</v>
      </c>
      <c r="O5" s="24">
        <f t="shared" si="6"/>
        <v>4087.2599999999998</v>
      </c>
      <c r="P5" s="24">
        <f t="shared" si="7"/>
        <v>4244</v>
      </c>
      <c r="Q5" s="26">
        <v>0</v>
      </c>
      <c r="R5" s="24">
        <f t="shared" si="8"/>
        <v>0</v>
      </c>
      <c r="S5" s="23">
        <f t="shared" si="9"/>
        <v>184240</v>
      </c>
      <c r="T5" s="24">
        <f t="shared" si="10"/>
        <v>39150</v>
      </c>
      <c r="U5" s="27">
        <f>+T5</f>
        <v>39150</v>
      </c>
      <c r="V5" s="24" t="s">
        <v>38</v>
      </c>
      <c r="W5" s="24">
        <f t="shared" si="11"/>
        <v>145090</v>
      </c>
      <c r="X5" s="24">
        <v>145090</v>
      </c>
      <c r="Y5" s="24" t="s">
        <v>32</v>
      </c>
      <c r="Z5" s="58">
        <f t="shared" si="12"/>
        <v>0</v>
      </c>
      <c r="AA5" s="58" t="s">
        <v>39</v>
      </c>
      <c r="AB5" s="60">
        <v>1800003302</v>
      </c>
      <c r="AC5" s="59" t="s">
        <v>40</v>
      </c>
    </row>
    <row r="6" spans="1:29" ht="25.5" x14ac:dyDescent="0.25">
      <c r="A6" s="19">
        <v>28</v>
      </c>
      <c r="B6" s="20" t="s">
        <v>41</v>
      </c>
      <c r="C6" s="21">
        <v>1456</v>
      </c>
      <c r="D6" s="22">
        <v>21977</v>
      </c>
      <c r="E6" s="22" t="s">
        <v>30</v>
      </c>
      <c r="F6" s="22">
        <v>1875</v>
      </c>
      <c r="G6" s="20" t="s">
        <v>42</v>
      </c>
      <c r="H6" s="23">
        <v>40768</v>
      </c>
      <c r="I6" s="23">
        <f t="shared" si="0"/>
        <v>7338</v>
      </c>
      <c r="J6" s="23">
        <f t="shared" si="1"/>
        <v>48106</v>
      </c>
      <c r="K6" s="23">
        <f t="shared" si="2"/>
        <v>962</v>
      </c>
      <c r="L6" s="24">
        <f t="shared" si="3"/>
        <v>40.768000000000001</v>
      </c>
      <c r="M6" s="24">
        <f t="shared" si="4"/>
        <v>1082.3904</v>
      </c>
      <c r="N6" s="25">
        <f t="shared" si="5"/>
        <v>18.345600000000001</v>
      </c>
      <c r="O6" s="24">
        <f t="shared" si="6"/>
        <v>1064.0447999999999</v>
      </c>
      <c r="P6" s="24">
        <f t="shared" si="7"/>
        <v>1105</v>
      </c>
      <c r="Q6" s="26">
        <v>0</v>
      </c>
      <c r="R6" s="24">
        <f t="shared" si="8"/>
        <v>0</v>
      </c>
      <c r="S6" s="23">
        <f t="shared" si="9"/>
        <v>47964</v>
      </c>
      <c r="T6" s="24">
        <f t="shared" si="10"/>
        <v>10192</v>
      </c>
      <c r="U6" s="27">
        <v>10192</v>
      </c>
      <c r="V6" s="24" t="s">
        <v>43</v>
      </c>
      <c r="W6" s="24">
        <f t="shared" si="11"/>
        <v>37772</v>
      </c>
      <c r="X6" s="24">
        <f>+W6+R6</f>
        <v>37772</v>
      </c>
      <c r="Y6" s="24" t="s">
        <v>44</v>
      </c>
      <c r="Z6" s="58">
        <f t="shared" si="12"/>
        <v>0</v>
      </c>
      <c r="AA6" s="58" t="s">
        <v>45</v>
      </c>
      <c r="AB6" s="60">
        <v>1800003346</v>
      </c>
      <c r="AC6" s="59" t="s">
        <v>40</v>
      </c>
    </row>
    <row r="7" spans="1:29" ht="38.25" x14ac:dyDescent="0.25">
      <c r="A7" s="19">
        <v>3000</v>
      </c>
      <c r="B7" s="20" t="s">
        <v>46</v>
      </c>
      <c r="C7" s="21">
        <v>66</v>
      </c>
      <c r="D7" s="22">
        <v>21977</v>
      </c>
      <c r="E7" s="22" t="s">
        <v>30</v>
      </c>
      <c r="F7" s="22">
        <v>1876</v>
      </c>
      <c r="G7" s="20" t="s">
        <v>42</v>
      </c>
      <c r="H7" s="23">
        <v>198000</v>
      </c>
      <c r="I7" s="23">
        <f t="shared" si="0"/>
        <v>35640</v>
      </c>
      <c r="J7" s="23">
        <f t="shared" si="1"/>
        <v>233640</v>
      </c>
      <c r="K7" s="23">
        <f t="shared" si="2"/>
        <v>4673</v>
      </c>
      <c r="L7" s="24">
        <f t="shared" si="3"/>
        <v>198</v>
      </c>
      <c r="M7" s="24">
        <f t="shared" si="4"/>
        <v>5256.9</v>
      </c>
      <c r="N7" s="25">
        <f t="shared" si="5"/>
        <v>89.100000000000009</v>
      </c>
      <c r="O7" s="24">
        <f t="shared" si="6"/>
        <v>5167.7999999999993</v>
      </c>
      <c r="P7" s="24">
        <f t="shared" si="7"/>
        <v>5366</v>
      </c>
      <c r="Q7" s="26">
        <v>0</v>
      </c>
      <c r="R7" s="24">
        <f t="shared" si="8"/>
        <v>0</v>
      </c>
      <c r="S7" s="23">
        <f t="shared" si="9"/>
        <v>232947</v>
      </c>
      <c r="T7" s="24">
        <f t="shared" si="10"/>
        <v>49500</v>
      </c>
      <c r="U7" s="27">
        <v>49500</v>
      </c>
      <c r="V7" s="24" t="s">
        <v>43</v>
      </c>
      <c r="W7" s="24">
        <f t="shared" si="11"/>
        <v>183447</v>
      </c>
      <c r="X7" s="24">
        <f>+W7+R7-1</f>
        <v>183446</v>
      </c>
      <c r="Y7" s="24" t="s">
        <v>44</v>
      </c>
      <c r="Z7" s="58">
        <f t="shared" si="12"/>
        <v>1</v>
      </c>
      <c r="AA7" s="58" t="s">
        <v>47</v>
      </c>
      <c r="AB7" s="60">
        <v>1800003347</v>
      </c>
      <c r="AC7" s="59" t="s">
        <v>40</v>
      </c>
    </row>
    <row r="8" spans="1:29" ht="25.5" x14ac:dyDescent="0.25">
      <c r="A8" s="19">
        <v>7253</v>
      </c>
      <c r="B8" s="20" t="s">
        <v>48</v>
      </c>
      <c r="C8" s="21">
        <v>227</v>
      </c>
      <c r="D8" s="22">
        <v>21980</v>
      </c>
      <c r="E8" s="22" t="s">
        <v>30</v>
      </c>
      <c r="F8" s="22">
        <v>1923</v>
      </c>
      <c r="G8" s="20" t="s">
        <v>49</v>
      </c>
      <c r="H8" s="23">
        <v>1646431</v>
      </c>
      <c r="I8" s="23">
        <f t="shared" si="0"/>
        <v>296358</v>
      </c>
      <c r="J8" s="23">
        <f t="shared" si="1"/>
        <v>1942789</v>
      </c>
      <c r="K8" s="23">
        <f t="shared" si="2"/>
        <v>38856</v>
      </c>
      <c r="L8" s="24">
        <f t="shared" si="3"/>
        <v>1646.431</v>
      </c>
      <c r="M8" s="24">
        <f t="shared" si="4"/>
        <v>43712.743049999997</v>
      </c>
      <c r="N8" s="25">
        <f t="shared" si="5"/>
        <v>740.89395000000002</v>
      </c>
      <c r="O8" s="24">
        <f t="shared" si="6"/>
        <v>42971.849099999999</v>
      </c>
      <c r="P8" s="24">
        <f t="shared" si="7"/>
        <v>44618</v>
      </c>
      <c r="Q8" s="26">
        <v>0.02</v>
      </c>
      <c r="R8" s="24">
        <f t="shared" si="8"/>
        <v>32929</v>
      </c>
      <c r="S8" s="23">
        <f t="shared" si="9"/>
        <v>1904097</v>
      </c>
      <c r="T8" s="24">
        <f t="shared" si="10"/>
        <v>411608</v>
      </c>
      <c r="U8" s="27">
        <f>+T8</f>
        <v>411608</v>
      </c>
      <c r="V8" s="24" t="s">
        <v>50</v>
      </c>
      <c r="W8" s="24">
        <f t="shared" si="11"/>
        <v>1492489</v>
      </c>
      <c r="X8" s="24">
        <v>1492490</v>
      </c>
      <c r="Y8" s="24" t="s">
        <v>32</v>
      </c>
      <c r="Z8" s="58">
        <f t="shared" si="12"/>
        <v>-1</v>
      </c>
      <c r="AA8" s="58" t="s">
        <v>51</v>
      </c>
      <c r="AB8" s="60">
        <v>1800003315</v>
      </c>
      <c r="AC8" s="59" t="s">
        <v>40</v>
      </c>
    </row>
    <row r="9" spans="1:29" x14ac:dyDescent="0.25">
      <c r="A9" s="19">
        <v>1</v>
      </c>
      <c r="B9" s="20" t="s">
        <v>52</v>
      </c>
      <c r="C9" s="21">
        <v>2787314</v>
      </c>
      <c r="D9" s="22">
        <v>21977</v>
      </c>
      <c r="E9" s="22" t="s">
        <v>36</v>
      </c>
      <c r="F9" s="22">
        <v>1976</v>
      </c>
      <c r="G9" s="20" t="s">
        <v>53</v>
      </c>
      <c r="H9" s="23">
        <v>2787314</v>
      </c>
      <c r="I9" s="23">
        <f t="shared" si="0"/>
        <v>501717</v>
      </c>
      <c r="J9" s="23">
        <f t="shared" si="1"/>
        <v>3289031</v>
      </c>
      <c r="K9" s="23">
        <f t="shared" si="2"/>
        <v>65781</v>
      </c>
      <c r="L9" s="24">
        <f t="shared" si="3"/>
        <v>2787.3139999999999</v>
      </c>
      <c r="M9" s="24">
        <f t="shared" si="4"/>
        <v>74003.186699999991</v>
      </c>
      <c r="N9" s="25">
        <f t="shared" si="5"/>
        <v>1254.2912999999999</v>
      </c>
      <c r="O9" s="24">
        <f t="shared" si="6"/>
        <v>72748.895399999994</v>
      </c>
      <c r="P9" s="24">
        <f t="shared" si="7"/>
        <v>75536</v>
      </c>
      <c r="Q9" s="26">
        <v>0</v>
      </c>
      <c r="R9" s="24">
        <f t="shared" si="8"/>
        <v>0</v>
      </c>
      <c r="S9" s="23">
        <f t="shared" si="9"/>
        <v>3279275</v>
      </c>
      <c r="T9" s="24">
        <f t="shared" si="10"/>
        <v>696829</v>
      </c>
      <c r="U9" s="27">
        <f>+T9</f>
        <v>696829</v>
      </c>
      <c r="V9" s="24" t="s">
        <v>38</v>
      </c>
      <c r="W9" s="24">
        <f t="shared" si="11"/>
        <v>2582446</v>
      </c>
      <c r="X9" s="24">
        <v>2582447.0942916097</v>
      </c>
      <c r="Y9" s="24" t="s">
        <v>38</v>
      </c>
      <c r="Z9" s="58">
        <f t="shared" si="12"/>
        <v>-1.0942916097119451</v>
      </c>
      <c r="AA9" s="58" t="s">
        <v>54</v>
      </c>
      <c r="AB9" s="60">
        <v>1800003194</v>
      </c>
      <c r="AC9" s="59" t="s">
        <v>55</v>
      </c>
    </row>
    <row r="10" spans="1:29" x14ac:dyDescent="0.25">
      <c r="A10" s="19">
        <v>4</v>
      </c>
      <c r="B10" s="20" t="s">
        <v>56</v>
      </c>
      <c r="C10" s="21">
        <v>51511</v>
      </c>
      <c r="D10" s="22">
        <v>21977</v>
      </c>
      <c r="E10" s="22" t="s">
        <v>36</v>
      </c>
      <c r="F10" s="22">
        <v>2002</v>
      </c>
      <c r="G10" s="20" t="s">
        <v>37</v>
      </c>
      <c r="H10" s="23">
        <v>206044</v>
      </c>
      <c r="I10" s="23">
        <f t="shared" si="0"/>
        <v>37088</v>
      </c>
      <c r="J10" s="23">
        <f t="shared" si="1"/>
        <v>243132</v>
      </c>
      <c r="K10" s="23">
        <f t="shared" si="2"/>
        <v>4863</v>
      </c>
      <c r="L10" s="24">
        <f t="shared" si="3"/>
        <v>206.04400000000001</v>
      </c>
      <c r="M10" s="24">
        <f t="shared" si="4"/>
        <v>5470.4681999999993</v>
      </c>
      <c r="N10" s="25">
        <f t="shared" si="5"/>
        <v>92.719799999999992</v>
      </c>
      <c r="O10" s="24">
        <f t="shared" si="6"/>
        <v>5377.7483999999995</v>
      </c>
      <c r="P10" s="24">
        <f t="shared" si="7"/>
        <v>5584</v>
      </c>
      <c r="Q10" s="26">
        <v>0</v>
      </c>
      <c r="R10" s="24">
        <f t="shared" si="8"/>
        <v>0</v>
      </c>
      <c r="S10" s="23">
        <f t="shared" si="9"/>
        <v>242411</v>
      </c>
      <c r="T10" s="24">
        <f t="shared" si="10"/>
        <v>51511</v>
      </c>
      <c r="U10" s="27">
        <f>+T10</f>
        <v>51511</v>
      </c>
      <c r="V10" s="24" t="s">
        <v>38</v>
      </c>
      <c r="W10" s="24">
        <f t="shared" si="11"/>
        <v>190900</v>
      </c>
      <c r="X10" s="24">
        <v>190900</v>
      </c>
      <c r="Y10" s="24" t="s">
        <v>32</v>
      </c>
      <c r="Z10" s="58">
        <f t="shared" si="12"/>
        <v>0</v>
      </c>
      <c r="AA10" s="58" t="s">
        <v>57</v>
      </c>
      <c r="AB10" s="60">
        <v>1800003303</v>
      </c>
      <c r="AC10" s="59" t="s">
        <v>40</v>
      </c>
    </row>
    <row r="11" spans="1:29" x14ac:dyDescent="0.25">
      <c r="A11" s="19">
        <v>1</v>
      </c>
      <c r="B11" s="20" t="s">
        <v>58</v>
      </c>
      <c r="C11" s="21">
        <v>65007</v>
      </c>
      <c r="D11" s="22">
        <v>21977</v>
      </c>
      <c r="E11" s="22" t="s">
        <v>36</v>
      </c>
      <c r="F11" s="22">
        <v>2003</v>
      </c>
      <c r="G11" s="20" t="s">
        <v>37</v>
      </c>
      <c r="H11" s="23">
        <v>65007</v>
      </c>
      <c r="I11" s="23">
        <f t="shared" si="0"/>
        <v>11701</v>
      </c>
      <c r="J11" s="23">
        <f t="shared" si="1"/>
        <v>76708</v>
      </c>
      <c r="K11" s="23">
        <f t="shared" si="2"/>
        <v>1534</v>
      </c>
      <c r="L11" s="24">
        <f t="shared" si="3"/>
        <v>65.007000000000005</v>
      </c>
      <c r="M11" s="24">
        <f t="shared" si="4"/>
        <v>1725.9358499999998</v>
      </c>
      <c r="N11" s="25">
        <f t="shared" si="5"/>
        <v>29.253150000000002</v>
      </c>
      <c r="O11" s="24">
        <f t="shared" si="6"/>
        <v>1696.6826999999998</v>
      </c>
      <c r="P11" s="24">
        <f t="shared" si="7"/>
        <v>1762</v>
      </c>
      <c r="Q11" s="26">
        <v>0</v>
      </c>
      <c r="R11" s="24">
        <f t="shared" si="8"/>
        <v>0</v>
      </c>
      <c r="S11" s="23">
        <f t="shared" si="9"/>
        <v>76481</v>
      </c>
      <c r="T11" s="24">
        <f t="shared" si="10"/>
        <v>16252</v>
      </c>
      <c r="U11" s="27">
        <f>+T11</f>
        <v>16252</v>
      </c>
      <c r="V11" s="24" t="s">
        <v>38</v>
      </c>
      <c r="W11" s="24">
        <f t="shared" si="11"/>
        <v>60229</v>
      </c>
      <c r="X11" s="24">
        <v>60229</v>
      </c>
      <c r="Y11" s="24" t="s">
        <v>32</v>
      </c>
      <c r="Z11" s="58">
        <f t="shared" si="12"/>
        <v>0</v>
      </c>
      <c r="AA11" s="58" t="s">
        <v>59</v>
      </c>
      <c r="AB11" s="60">
        <v>1800003304</v>
      </c>
      <c r="AC11" s="59" t="s">
        <v>40</v>
      </c>
    </row>
    <row r="12" spans="1:29" x14ac:dyDescent="0.25">
      <c r="A12" s="19">
        <v>1</v>
      </c>
      <c r="B12" s="20" t="s">
        <v>60</v>
      </c>
      <c r="C12" s="21">
        <v>70006</v>
      </c>
      <c r="D12" s="22">
        <v>21977</v>
      </c>
      <c r="E12" s="22" t="s">
        <v>36</v>
      </c>
      <c r="F12" s="22">
        <v>2005</v>
      </c>
      <c r="G12" s="20" t="s">
        <v>37</v>
      </c>
      <c r="H12" s="23">
        <v>70006</v>
      </c>
      <c r="I12" s="23">
        <f t="shared" si="0"/>
        <v>12601</v>
      </c>
      <c r="J12" s="23">
        <f t="shared" si="1"/>
        <v>82607</v>
      </c>
      <c r="K12" s="23">
        <f t="shared" si="2"/>
        <v>1652</v>
      </c>
      <c r="L12" s="24">
        <f t="shared" si="3"/>
        <v>70.006</v>
      </c>
      <c r="M12" s="24">
        <f t="shared" si="4"/>
        <v>1858.6592999999998</v>
      </c>
      <c r="N12" s="25">
        <f t="shared" si="5"/>
        <v>31.502700000000001</v>
      </c>
      <c r="O12" s="24">
        <f t="shared" si="6"/>
        <v>1827.1565999999998</v>
      </c>
      <c r="P12" s="24">
        <f t="shared" si="7"/>
        <v>1897</v>
      </c>
      <c r="Q12" s="26">
        <v>0</v>
      </c>
      <c r="R12" s="24">
        <f t="shared" si="8"/>
        <v>0</v>
      </c>
      <c r="S12" s="23">
        <f t="shared" si="9"/>
        <v>82362</v>
      </c>
      <c r="T12" s="24">
        <f t="shared" si="10"/>
        <v>17502</v>
      </c>
      <c r="U12" s="27">
        <f>+T12</f>
        <v>17502</v>
      </c>
      <c r="V12" s="24" t="s">
        <v>38</v>
      </c>
      <c r="W12" s="24">
        <f t="shared" si="11"/>
        <v>64861</v>
      </c>
      <c r="X12" s="24">
        <v>64859</v>
      </c>
      <c r="Y12" s="24" t="s">
        <v>32</v>
      </c>
      <c r="Z12" s="58">
        <f t="shared" si="12"/>
        <v>1</v>
      </c>
      <c r="AA12" s="58" t="s">
        <v>61</v>
      </c>
      <c r="AB12" s="60">
        <v>1800003305</v>
      </c>
      <c r="AC12" s="59" t="s">
        <v>40</v>
      </c>
    </row>
    <row r="13" spans="1:29" x14ac:dyDescent="0.25">
      <c r="A13" s="19">
        <v>25</v>
      </c>
      <c r="B13" s="20" t="s">
        <v>62</v>
      </c>
      <c r="C13" s="21">
        <v>700</v>
      </c>
      <c r="D13" s="22">
        <v>21977</v>
      </c>
      <c r="E13" s="22" t="s">
        <v>36</v>
      </c>
      <c r="F13" s="22">
        <v>2006</v>
      </c>
      <c r="G13" s="20" t="s">
        <v>63</v>
      </c>
      <c r="H13" s="23">
        <v>17500</v>
      </c>
      <c r="I13" s="23">
        <f t="shared" si="0"/>
        <v>3150</v>
      </c>
      <c r="J13" s="23">
        <f t="shared" si="1"/>
        <v>20650</v>
      </c>
      <c r="K13" s="23">
        <f t="shared" si="2"/>
        <v>413</v>
      </c>
      <c r="L13" s="24">
        <f t="shared" si="3"/>
        <v>17.5</v>
      </c>
      <c r="M13" s="24">
        <f t="shared" si="4"/>
        <v>464.625</v>
      </c>
      <c r="N13" s="25">
        <f t="shared" si="5"/>
        <v>7.875</v>
      </c>
      <c r="O13" s="24">
        <f t="shared" si="6"/>
        <v>456.75</v>
      </c>
      <c r="P13" s="24">
        <f t="shared" si="7"/>
        <v>474</v>
      </c>
      <c r="Q13" s="26">
        <v>0</v>
      </c>
      <c r="R13" s="24">
        <f t="shared" si="8"/>
        <v>0</v>
      </c>
      <c r="S13" s="23">
        <f t="shared" si="9"/>
        <v>20589</v>
      </c>
      <c r="T13" s="24">
        <f t="shared" si="10"/>
        <v>4375</v>
      </c>
      <c r="U13" s="27">
        <v>4375</v>
      </c>
      <c r="V13" s="24" t="s">
        <v>43</v>
      </c>
      <c r="W13" s="24">
        <f t="shared" si="11"/>
        <v>16214</v>
      </c>
      <c r="X13" s="24">
        <v>16214</v>
      </c>
      <c r="Y13" s="24" t="s">
        <v>43</v>
      </c>
      <c r="Z13" s="58">
        <f t="shared" si="12"/>
        <v>0</v>
      </c>
      <c r="AA13" s="58" t="s">
        <v>64</v>
      </c>
      <c r="AB13" s="60">
        <v>1800003156</v>
      </c>
      <c r="AC13" s="59" t="s">
        <v>50</v>
      </c>
    </row>
    <row r="14" spans="1:29" ht="25.5" x14ac:dyDescent="0.25">
      <c r="A14" s="19">
        <v>1</v>
      </c>
      <c r="B14" s="20" t="s">
        <v>65</v>
      </c>
      <c r="C14" s="21">
        <v>3857116</v>
      </c>
      <c r="D14" s="22">
        <v>21977</v>
      </c>
      <c r="E14" s="22" t="s">
        <v>36</v>
      </c>
      <c r="F14" s="22">
        <v>2007</v>
      </c>
      <c r="G14" s="20" t="s">
        <v>53</v>
      </c>
      <c r="H14" s="23">
        <v>3857116</v>
      </c>
      <c r="I14" s="23">
        <f t="shared" si="0"/>
        <v>694281</v>
      </c>
      <c r="J14" s="23">
        <f t="shared" si="1"/>
        <v>4551397</v>
      </c>
      <c r="K14" s="23">
        <f t="shared" si="2"/>
        <v>91028</v>
      </c>
      <c r="L14" s="24">
        <f t="shared" si="3"/>
        <v>3857.116</v>
      </c>
      <c r="M14" s="24">
        <f t="shared" si="4"/>
        <v>102406.4298</v>
      </c>
      <c r="N14" s="25">
        <f t="shared" si="5"/>
        <v>1735.7021999999999</v>
      </c>
      <c r="O14" s="24">
        <f t="shared" si="6"/>
        <v>100670.7276</v>
      </c>
      <c r="P14" s="24">
        <f t="shared" si="7"/>
        <v>104528</v>
      </c>
      <c r="Q14" s="26">
        <v>0</v>
      </c>
      <c r="R14" s="24">
        <f t="shared" si="8"/>
        <v>0</v>
      </c>
      <c r="S14" s="23">
        <f t="shared" si="9"/>
        <v>4537897</v>
      </c>
      <c r="T14" s="24">
        <f t="shared" si="10"/>
        <v>964279</v>
      </c>
      <c r="U14" s="27">
        <f>+T14</f>
        <v>964279</v>
      </c>
      <c r="V14" s="24" t="s">
        <v>38</v>
      </c>
      <c r="W14" s="24">
        <f t="shared" si="11"/>
        <v>3573618</v>
      </c>
      <c r="X14" s="24">
        <v>3573618.9057083903</v>
      </c>
      <c r="Y14" s="24" t="s">
        <v>38</v>
      </c>
      <c r="Z14" s="58">
        <f t="shared" si="12"/>
        <v>-0.90570839028805494</v>
      </c>
      <c r="AA14" s="58" t="s">
        <v>66</v>
      </c>
      <c r="AB14" s="60">
        <v>1800003196</v>
      </c>
      <c r="AC14" s="59" t="s">
        <v>55</v>
      </c>
    </row>
    <row r="15" spans="1:29" x14ac:dyDescent="0.25">
      <c r="A15" s="19">
        <v>250</v>
      </c>
      <c r="B15" s="20" t="s">
        <v>67</v>
      </c>
      <c r="C15" s="21">
        <v>543</v>
      </c>
      <c r="D15" s="22">
        <v>21977</v>
      </c>
      <c r="E15" s="22" t="s">
        <v>36</v>
      </c>
      <c r="F15" s="22">
        <v>2008</v>
      </c>
      <c r="G15" s="20" t="s">
        <v>68</v>
      </c>
      <c r="H15" s="23">
        <v>135750</v>
      </c>
      <c r="I15" s="23">
        <f t="shared" si="0"/>
        <v>24435</v>
      </c>
      <c r="J15" s="23">
        <f t="shared" si="1"/>
        <v>160185</v>
      </c>
      <c r="K15" s="23">
        <f t="shared" si="2"/>
        <v>3204</v>
      </c>
      <c r="L15" s="24">
        <f t="shared" si="3"/>
        <v>135.75</v>
      </c>
      <c r="M15" s="24">
        <f t="shared" si="4"/>
        <v>3604.1624999999999</v>
      </c>
      <c r="N15" s="25">
        <f t="shared" si="5"/>
        <v>61.087499999999999</v>
      </c>
      <c r="O15" s="24">
        <f t="shared" si="6"/>
        <v>3543.0749999999998</v>
      </c>
      <c r="P15" s="24">
        <f t="shared" si="7"/>
        <v>3679</v>
      </c>
      <c r="Q15" s="26">
        <v>0</v>
      </c>
      <c r="R15" s="24">
        <f t="shared" si="8"/>
        <v>0</v>
      </c>
      <c r="S15" s="23">
        <f t="shared" si="9"/>
        <v>159710</v>
      </c>
      <c r="T15" s="24">
        <f t="shared" si="10"/>
        <v>33938</v>
      </c>
      <c r="U15" s="27">
        <v>33938</v>
      </c>
      <c r="V15" s="24" t="s">
        <v>50</v>
      </c>
      <c r="W15" s="24">
        <f t="shared" si="11"/>
        <v>125772</v>
      </c>
      <c r="X15" s="24">
        <v>125772</v>
      </c>
      <c r="Y15" s="24" t="s">
        <v>33</v>
      </c>
      <c r="Z15" s="58">
        <f t="shared" si="12"/>
        <v>0</v>
      </c>
      <c r="AA15" s="58" t="s">
        <v>69</v>
      </c>
      <c r="AB15" s="60">
        <v>1800003247</v>
      </c>
      <c r="AC15" s="59" t="s">
        <v>44</v>
      </c>
    </row>
    <row r="16" spans="1:29" x14ac:dyDescent="0.25">
      <c r="A16" s="19">
        <v>22</v>
      </c>
      <c r="B16" s="20" t="s">
        <v>70</v>
      </c>
      <c r="C16" s="21">
        <v>700</v>
      </c>
      <c r="D16" s="22">
        <v>21977</v>
      </c>
      <c r="E16" s="22" t="s">
        <v>36</v>
      </c>
      <c r="F16" s="22">
        <v>2011</v>
      </c>
      <c r="G16" s="20" t="s">
        <v>63</v>
      </c>
      <c r="H16" s="23">
        <v>15400</v>
      </c>
      <c r="I16" s="23">
        <f t="shared" si="0"/>
        <v>2772</v>
      </c>
      <c r="J16" s="23">
        <f t="shared" si="1"/>
        <v>18172</v>
      </c>
      <c r="K16" s="23">
        <f t="shared" si="2"/>
        <v>363</v>
      </c>
      <c r="L16" s="24">
        <f t="shared" si="3"/>
        <v>15.4</v>
      </c>
      <c r="M16" s="24">
        <f t="shared" si="4"/>
        <v>408.87</v>
      </c>
      <c r="N16" s="25">
        <f t="shared" si="5"/>
        <v>6.93</v>
      </c>
      <c r="O16" s="24">
        <f t="shared" si="6"/>
        <v>401.94</v>
      </c>
      <c r="P16" s="24">
        <f t="shared" si="7"/>
        <v>417</v>
      </c>
      <c r="Q16" s="26">
        <v>0</v>
      </c>
      <c r="R16" s="24">
        <f t="shared" si="8"/>
        <v>0</v>
      </c>
      <c r="S16" s="23">
        <f t="shared" si="9"/>
        <v>18118</v>
      </c>
      <c r="T16" s="24">
        <f t="shared" si="10"/>
        <v>3850</v>
      </c>
      <c r="U16" s="27">
        <v>3850</v>
      </c>
      <c r="V16" s="24" t="s">
        <v>43</v>
      </c>
      <c r="W16" s="24">
        <f t="shared" si="11"/>
        <v>14268</v>
      </c>
      <c r="X16" s="24">
        <v>14267</v>
      </c>
      <c r="Y16" s="24" t="s">
        <v>43</v>
      </c>
      <c r="Z16" s="58">
        <f t="shared" si="12"/>
        <v>1</v>
      </c>
      <c r="AA16" s="58" t="s">
        <v>71</v>
      </c>
      <c r="AB16" s="60">
        <v>1800003157</v>
      </c>
      <c r="AC16" s="59" t="s">
        <v>50</v>
      </c>
    </row>
    <row r="17" spans="1:29" x14ac:dyDescent="0.25">
      <c r="A17" s="19">
        <v>100</v>
      </c>
      <c r="B17" s="20" t="s">
        <v>72</v>
      </c>
      <c r="C17" s="21">
        <v>710</v>
      </c>
      <c r="D17" s="22">
        <v>21978</v>
      </c>
      <c r="E17" s="22" t="s">
        <v>36</v>
      </c>
      <c r="F17" s="22">
        <v>2015</v>
      </c>
      <c r="G17" s="20" t="s">
        <v>63</v>
      </c>
      <c r="H17" s="23">
        <v>71000</v>
      </c>
      <c r="I17" s="23">
        <f t="shared" si="0"/>
        <v>12780</v>
      </c>
      <c r="J17" s="23">
        <f t="shared" si="1"/>
        <v>83780</v>
      </c>
      <c r="K17" s="23">
        <f t="shared" si="2"/>
        <v>1676</v>
      </c>
      <c r="L17" s="24">
        <f t="shared" si="3"/>
        <v>71</v>
      </c>
      <c r="M17" s="24">
        <f t="shared" si="4"/>
        <v>1885.05</v>
      </c>
      <c r="N17" s="25">
        <f t="shared" si="5"/>
        <v>31.95</v>
      </c>
      <c r="O17" s="24">
        <f t="shared" si="6"/>
        <v>1853.1</v>
      </c>
      <c r="P17" s="24">
        <f t="shared" si="7"/>
        <v>1924</v>
      </c>
      <c r="Q17" s="26">
        <v>0</v>
      </c>
      <c r="R17" s="24">
        <f t="shared" si="8"/>
        <v>0</v>
      </c>
      <c r="S17" s="23">
        <f t="shared" si="9"/>
        <v>83532</v>
      </c>
      <c r="T17" s="24">
        <f t="shared" si="10"/>
        <v>17750</v>
      </c>
      <c r="U17" s="27">
        <v>17750</v>
      </c>
      <c r="V17" s="24" t="s">
        <v>43</v>
      </c>
      <c r="W17" s="24">
        <f t="shared" si="11"/>
        <v>65782</v>
      </c>
      <c r="X17" s="24">
        <f>+W17</f>
        <v>65782</v>
      </c>
      <c r="Y17" s="24" t="s">
        <v>43</v>
      </c>
      <c r="Z17" s="58">
        <f t="shared" si="12"/>
        <v>0</v>
      </c>
      <c r="AA17" s="58" t="s">
        <v>73</v>
      </c>
      <c r="AB17" s="60">
        <v>1800003158</v>
      </c>
      <c r="AC17" s="59" t="s">
        <v>50</v>
      </c>
    </row>
    <row r="18" spans="1:29" x14ac:dyDescent="0.25">
      <c r="A18" s="19">
        <v>1</v>
      </c>
      <c r="B18" s="20" t="s">
        <v>74</v>
      </c>
      <c r="C18" s="21">
        <v>220001</v>
      </c>
      <c r="D18" s="22">
        <v>21978</v>
      </c>
      <c r="E18" s="22" t="s">
        <v>36</v>
      </c>
      <c r="F18" s="22">
        <v>2018</v>
      </c>
      <c r="G18" s="20" t="s">
        <v>37</v>
      </c>
      <c r="H18" s="23">
        <v>220001</v>
      </c>
      <c r="I18" s="23">
        <f t="shared" si="0"/>
        <v>39600</v>
      </c>
      <c r="J18" s="23">
        <f t="shared" si="1"/>
        <v>259601</v>
      </c>
      <c r="K18" s="23">
        <f t="shared" si="2"/>
        <v>5192</v>
      </c>
      <c r="L18" s="24">
        <f t="shared" si="3"/>
        <v>220.001</v>
      </c>
      <c r="M18" s="24">
        <f t="shared" si="4"/>
        <v>5841.0265499999996</v>
      </c>
      <c r="N18" s="25">
        <f t="shared" si="5"/>
        <v>99.000450000000001</v>
      </c>
      <c r="O18" s="24">
        <f t="shared" si="6"/>
        <v>5742.0260999999991</v>
      </c>
      <c r="P18" s="24">
        <f t="shared" si="7"/>
        <v>5962</v>
      </c>
      <c r="Q18" s="26">
        <v>0</v>
      </c>
      <c r="R18" s="24">
        <f t="shared" si="8"/>
        <v>0</v>
      </c>
      <c r="S18" s="23">
        <f t="shared" si="9"/>
        <v>258831</v>
      </c>
      <c r="T18" s="24">
        <f t="shared" si="10"/>
        <v>55000</v>
      </c>
      <c r="U18" s="27">
        <f>+T18</f>
        <v>55000</v>
      </c>
      <c r="V18" s="24" t="s">
        <v>38</v>
      </c>
      <c r="W18" s="24">
        <f t="shared" si="11"/>
        <v>203831</v>
      </c>
      <c r="X18" s="24">
        <v>203831</v>
      </c>
      <c r="Y18" s="24" t="s">
        <v>32</v>
      </c>
      <c r="Z18" s="58">
        <f t="shared" si="12"/>
        <v>0</v>
      </c>
      <c r="AA18" s="58" t="s">
        <v>75</v>
      </c>
      <c r="AB18" s="60">
        <v>1800003306</v>
      </c>
      <c r="AC18" s="59" t="s">
        <v>40</v>
      </c>
    </row>
    <row r="19" spans="1:29" x14ac:dyDescent="0.25">
      <c r="A19" s="19">
        <v>1</v>
      </c>
      <c r="B19" s="20" t="s">
        <v>74</v>
      </c>
      <c r="C19" s="21">
        <v>210001</v>
      </c>
      <c r="D19" s="22">
        <v>21978</v>
      </c>
      <c r="E19" s="22" t="s">
        <v>36</v>
      </c>
      <c r="F19" s="22">
        <v>2019</v>
      </c>
      <c r="G19" s="20" t="s">
        <v>37</v>
      </c>
      <c r="H19" s="23">
        <v>210001</v>
      </c>
      <c r="I19" s="23">
        <f t="shared" si="0"/>
        <v>37800</v>
      </c>
      <c r="J19" s="23">
        <f t="shared" si="1"/>
        <v>247801</v>
      </c>
      <c r="K19" s="23">
        <f t="shared" si="2"/>
        <v>4956</v>
      </c>
      <c r="L19" s="24">
        <f t="shared" si="3"/>
        <v>210.001</v>
      </c>
      <c r="M19" s="24">
        <f t="shared" si="4"/>
        <v>5575.5265499999996</v>
      </c>
      <c r="N19" s="25">
        <f t="shared" si="5"/>
        <v>94.500450000000001</v>
      </c>
      <c r="O19" s="24">
        <f t="shared" si="6"/>
        <v>5481.0260999999991</v>
      </c>
      <c r="P19" s="24">
        <f t="shared" si="7"/>
        <v>5691</v>
      </c>
      <c r="Q19" s="26">
        <v>0</v>
      </c>
      <c r="R19" s="24">
        <f t="shared" si="8"/>
        <v>0</v>
      </c>
      <c r="S19" s="23">
        <f t="shared" si="9"/>
        <v>247066</v>
      </c>
      <c r="T19" s="24">
        <f t="shared" si="10"/>
        <v>52500</v>
      </c>
      <c r="U19" s="27">
        <f>+T19</f>
        <v>52500</v>
      </c>
      <c r="V19" s="24" t="s">
        <v>38</v>
      </c>
      <c r="W19" s="24">
        <f t="shared" si="11"/>
        <v>194566</v>
      </c>
      <c r="X19" s="24">
        <v>194566</v>
      </c>
      <c r="Y19" s="24" t="s">
        <v>32</v>
      </c>
      <c r="Z19" s="58">
        <f t="shared" si="12"/>
        <v>0</v>
      </c>
      <c r="AA19" s="58" t="s">
        <v>76</v>
      </c>
      <c r="AB19" s="60">
        <v>1800003307</v>
      </c>
      <c r="AC19" s="59" t="s">
        <v>40</v>
      </c>
    </row>
    <row r="20" spans="1:29" ht="25.5" x14ac:dyDescent="0.25">
      <c r="A20" s="19">
        <v>3500</v>
      </c>
      <c r="B20" s="20" t="s">
        <v>77</v>
      </c>
      <c r="C20" s="21">
        <v>333</v>
      </c>
      <c r="D20" s="22">
        <v>21978</v>
      </c>
      <c r="E20" s="22" t="s">
        <v>30</v>
      </c>
      <c r="F20" s="22">
        <v>2020</v>
      </c>
      <c r="G20" s="20" t="s">
        <v>49</v>
      </c>
      <c r="H20" s="23">
        <v>1165500</v>
      </c>
      <c r="I20" s="23">
        <f t="shared" si="0"/>
        <v>209790</v>
      </c>
      <c r="J20" s="23">
        <f t="shared" si="1"/>
        <v>1375290</v>
      </c>
      <c r="K20" s="23">
        <f t="shared" si="2"/>
        <v>27506</v>
      </c>
      <c r="L20" s="24">
        <f t="shared" si="3"/>
        <v>1165.5</v>
      </c>
      <c r="M20" s="24">
        <f t="shared" si="4"/>
        <v>30944.024999999998</v>
      </c>
      <c r="N20" s="25">
        <f t="shared" si="5"/>
        <v>524.47500000000002</v>
      </c>
      <c r="O20" s="24">
        <f t="shared" si="6"/>
        <v>30419.55</v>
      </c>
      <c r="P20" s="24">
        <f t="shared" si="7"/>
        <v>31585</v>
      </c>
      <c r="Q20" s="26">
        <v>0.02</v>
      </c>
      <c r="R20" s="24">
        <f t="shared" si="8"/>
        <v>23310</v>
      </c>
      <c r="S20" s="23">
        <f t="shared" si="9"/>
        <v>1347901</v>
      </c>
      <c r="T20" s="24">
        <f t="shared" si="10"/>
        <v>291375</v>
      </c>
      <c r="U20" s="27">
        <v>291375</v>
      </c>
      <c r="V20" s="24" t="s">
        <v>78</v>
      </c>
      <c r="W20" s="24">
        <f t="shared" si="11"/>
        <v>1056526</v>
      </c>
      <c r="X20" s="24">
        <v>1056525</v>
      </c>
      <c r="Y20" s="24" t="s">
        <v>78</v>
      </c>
      <c r="Z20" s="58">
        <f t="shared" si="12"/>
        <v>1</v>
      </c>
      <c r="AA20" s="58" t="s">
        <v>79</v>
      </c>
      <c r="AB20" s="60">
        <v>1800003065</v>
      </c>
      <c r="AC20" s="59" t="s">
        <v>80</v>
      </c>
    </row>
    <row r="21" spans="1:29" ht="38.25" x14ac:dyDescent="0.25">
      <c r="A21" s="19">
        <v>3</v>
      </c>
      <c r="B21" s="20" t="s">
        <v>56</v>
      </c>
      <c r="C21" s="21">
        <v>110200</v>
      </c>
      <c r="D21" s="22">
        <v>21978</v>
      </c>
      <c r="E21" s="22" t="s">
        <v>36</v>
      </c>
      <c r="F21" s="22">
        <v>2022</v>
      </c>
      <c r="G21" s="20" t="s">
        <v>81</v>
      </c>
      <c r="H21" s="23">
        <v>330600</v>
      </c>
      <c r="I21" s="23">
        <f t="shared" si="0"/>
        <v>59508</v>
      </c>
      <c r="J21" s="23">
        <f t="shared" si="1"/>
        <v>390108</v>
      </c>
      <c r="K21" s="23">
        <f t="shared" si="2"/>
        <v>7802</v>
      </c>
      <c r="L21" s="24">
        <f t="shared" si="3"/>
        <v>330.6</v>
      </c>
      <c r="M21" s="24">
        <f t="shared" si="4"/>
        <v>8777.43</v>
      </c>
      <c r="N21" s="25">
        <f t="shared" si="5"/>
        <v>148.77000000000001</v>
      </c>
      <c r="O21" s="24">
        <f t="shared" si="6"/>
        <v>8628.66</v>
      </c>
      <c r="P21" s="24">
        <f t="shared" si="7"/>
        <v>8959</v>
      </c>
      <c r="Q21" s="26">
        <v>0</v>
      </c>
      <c r="R21" s="24">
        <f t="shared" si="8"/>
        <v>0</v>
      </c>
      <c r="S21" s="23">
        <f t="shared" si="9"/>
        <v>388951</v>
      </c>
      <c r="T21" s="24">
        <f t="shared" si="10"/>
        <v>82650</v>
      </c>
      <c r="U21" s="27">
        <f>+T21</f>
        <v>82650</v>
      </c>
      <c r="V21" s="24" t="s">
        <v>50</v>
      </c>
      <c r="W21" s="24">
        <f t="shared" si="11"/>
        <v>306301</v>
      </c>
      <c r="X21" s="24">
        <v>306301</v>
      </c>
      <c r="Y21" s="24" t="s">
        <v>82</v>
      </c>
      <c r="Z21" s="58">
        <f t="shared" si="12"/>
        <v>0</v>
      </c>
      <c r="AA21" s="58" t="s">
        <v>83</v>
      </c>
      <c r="AB21" s="60">
        <v>1800003269</v>
      </c>
      <c r="AC21" s="59" t="s">
        <v>32</v>
      </c>
    </row>
    <row r="22" spans="1:29" x14ac:dyDescent="0.25">
      <c r="A22" s="19">
        <v>3</v>
      </c>
      <c r="B22" s="20" t="s">
        <v>56</v>
      </c>
      <c r="C22" s="21">
        <v>83743</v>
      </c>
      <c r="D22" s="22">
        <v>21978</v>
      </c>
      <c r="E22" s="22" t="s">
        <v>36</v>
      </c>
      <c r="F22" s="22">
        <v>2023</v>
      </c>
      <c r="G22" s="20" t="s">
        <v>37</v>
      </c>
      <c r="H22" s="23">
        <v>251229</v>
      </c>
      <c r="I22" s="23">
        <f t="shared" si="0"/>
        <v>45221</v>
      </c>
      <c r="J22" s="23">
        <f t="shared" si="1"/>
        <v>296450</v>
      </c>
      <c r="K22" s="23">
        <f t="shared" si="2"/>
        <v>5929</v>
      </c>
      <c r="L22" s="24">
        <f t="shared" si="3"/>
        <v>251.22900000000001</v>
      </c>
      <c r="M22" s="24">
        <f t="shared" si="4"/>
        <v>6670.1299499999996</v>
      </c>
      <c r="N22" s="25">
        <f t="shared" si="5"/>
        <v>113.05305</v>
      </c>
      <c r="O22" s="24">
        <f t="shared" si="6"/>
        <v>6557.0768999999991</v>
      </c>
      <c r="P22" s="24">
        <f t="shared" si="7"/>
        <v>6808</v>
      </c>
      <c r="Q22" s="26">
        <v>0</v>
      </c>
      <c r="R22" s="24">
        <f t="shared" si="8"/>
        <v>0</v>
      </c>
      <c r="S22" s="23">
        <f t="shared" si="9"/>
        <v>295571</v>
      </c>
      <c r="T22" s="24">
        <f t="shared" si="10"/>
        <v>62807</v>
      </c>
      <c r="U22" s="27">
        <f>+T22</f>
        <v>62807</v>
      </c>
      <c r="V22" s="24" t="s">
        <v>38</v>
      </c>
      <c r="W22" s="24">
        <f t="shared" si="11"/>
        <v>232764</v>
      </c>
      <c r="X22" s="24">
        <v>232764</v>
      </c>
      <c r="Y22" s="24" t="s">
        <v>32</v>
      </c>
      <c r="Z22" s="58">
        <f t="shared" si="12"/>
        <v>0</v>
      </c>
      <c r="AA22" s="58" t="s">
        <v>84</v>
      </c>
      <c r="AB22" s="60">
        <v>1800003308</v>
      </c>
      <c r="AC22" s="59" t="s">
        <v>40</v>
      </c>
    </row>
    <row r="23" spans="1:29" x14ac:dyDescent="0.25">
      <c r="A23" s="19">
        <v>90</v>
      </c>
      <c r="B23" s="20" t="s">
        <v>72</v>
      </c>
      <c r="C23" s="21">
        <v>700</v>
      </c>
      <c r="D23" s="22">
        <v>21978</v>
      </c>
      <c r="E23" s="22" t="s">
        <v>36</v>
      </c>
      <c r="F23" s="22">
        <v>2025</v>
      </c>
      <c r="G23" s="20" t="s">
        <v>63</v>
      </c>
      <c r="H23" s="23">
        <v>63000</v>
      </c>
      <c r="I23" s="23">
        <f t="shared" si="0"/>
        <v>11340</v>
      </c>
      <c r="J23" s="23">
        <f t="shared" si="1"/>
        <v>74340</v>
      </c>
      <c r="K23" s="23">
        <f t="shared" si="2"/>
        <v>1487</v>
      </c>
      <c r="L23" s="24">
        <f t="shared" si="3"/>
        <v>63</v>
      </c>
      <c r="M23" s="24">
        <f t="shared" si="4"/>
        <v>1672.6499999999999</v>
      </c>
      <c r="N23" s="25">
        <f t="shared" si="5"/>
        <v>28.35</v>
      </c>
      <c r="O23" s="24">
        <f t="shared" si="6"/>
        <v>1644.3</v>
      </c>
      <c r="P23" s="24">
        <f t="shared" si="7"/>
        <v>1707</v>
      </c>
      <c r="Q23" s="26">
        <v>0</v>
      </c>
      <c r="R23" s="24">
        <f t="shared" si="8"/>
        <v>0</v>
      </c>
      <c r="S23" s="23">
        <f t="shared" si="9"/>
        <v>74120</v>
      </c>
      <c r="T23" s="24">
        <f t="shared" si="10"/>
        <v>15750</v>
      </c>
      <c r="U23" s="27">
        <v>15750</v>
      </c>
      <c r="V23" s="24" t="s">
        <v>43</v>
      </c>
      <c r="W23" s="24">
        <f t="shared" si="11"/>
        <v>58370</v>
      </c>
      <c r="X23" s="24">
        <v>58418</v>
      </c>
      <c r="Y23" s="24" t="s">
        <v>43</v>
      </c>
      <c r="Z23" s="58">
        <f t="shared" si="12"/>
        <v>-48</v>
      </c>
      <c r="AA23" s="58" t="s">
        <v>85</v>
      </c>
      <c r="AB23" s="60">
        <v>1800003160</v>
      </c>
      <c r="AC23" s="59" t="s">
        <v>50</v>
      </c>
    </row>
    <row r="24" spans="1:29" x14ac:dyDescent="0.25">
      <c r="A24" s="19">
        <v>1</v>
      </c>
      <c r="B24" s="20" t="s">
        <v>56</v>
      </c>
      <c r="C24" s="21">
        <v>50003</v>
      </c>
      <c r="D24" s="22">
        <v>21978</v>
      </c>
      <c r="E24" s="22" t="s">
        <v>36</v>
      </c>
      <c r="F24" s="22">
        <v>2027</v>
      </c>
      <c r="G24" s="20" t="s">
        <v>37</v>
      </c>
      <c r="H24" s="23">
        <v>50003</v>
      </c>
      <c r="I24" s="23">
        <f t="shared" si="0"/>
        <v>9001</v>
      </c>
      <c r="J24" s="23">
        <f t="shared" si="1"/>
        <v>59004</v>
      </c>
      <c r="K24" s="23">
        <f t="shared" si="2"/>
        <v>1180</v>
      </c>
      <c r="L24" s="24">
        <f t="shared" si="3"/>
        <v>50.003</v>
      </c>
      <c r="M24" s="24">
        <f t="shared" si="4"/>
        <v>1327.5796499999999</v>
      </c>
      <c r="N24" s="25">
        <f t="shared" si="5"/>
        <v>22.501349999999999</v>
      </c>
      <c r="O24" s="24">
        <f t="shared" si="6"/>
        <v>1305.0782999999999</v>
      </c>
      <c r="P24" s="24">
        <f t="shared" si="7"/>
        <v>1355</v>
      </c>
      <c r="Q24" s="26">
        <v>0</v>
      </c>
      <c r="R24" s="24">
        <f t="shared" si="8"/>
        <v>0</v>
      </c>
      <c r="S24" s="23">
        <f t="shared" si="9"/>
        <v>58829</v>
      </c>
      <c r="T24" s="24">
        <f t="shared" si="10"/>
        <v>12501</v>
      </c>
      <c r="U24" s="27">
        <f>+T24</f>
        <v>12501</v>
      </c>
      <c r="V24" s="24" t="s">
        <v>38</v>
      </c>
      <c r="W24" s="24">
        <f t="shared" si="11"/>
        <v>46328</v>
      </c>
      <c r="X24" s="24">
        <v>46328</v>
      </c>
      <c r="Y24" s="24" t="s">
        <v>32</v>
      </c>
      <c r="Z24" s="58">
        <f t="shared" si="12"/>
        <v>0</v>
      </c>
      <c r="AA24" s="58" t="s">
        <v>86</v>
      </c>
      <c r="AB24" s="60">
        <v>1800003309</v>
      </c>
      <c r="AC24" s="59" t="s">
        <v>40</v>
      </c>
    </row>
    <row r="25" spans="1:29" x14ac:dyDescent="0.25">
      <c r="A25" s="19">
        <v>1000</v>
      </c>
      <c r="B25" s="20" t="s">
        <v>87</v>
      </c>
      <c r="C25" s="21">
        <v>517</v>
      </c>
      <c r="D25" s="22">
        <v>21978</v>
      </c>
      <c r="E25" s="22" t="s">
        <v>36</v>
      </c>
      <c r="F25" s="22">
        <v>2033</v>
      </c>
      <c r="G25" s="20" t="s">
        <v>88</v>
      </c>
      <c r="H25" s="23">
        <v>517000</v>
      </c>
      <c r="I25" s="23">
        <f t="shared" si="0"/>
        <v>93060</v>
      </c>
      <c r="J25" s="23">
        <f t="shared" si="1"/>
        <v>610060</v>
      </c>
      <c r="K25" s="23">
        <f t="shared" si="2"/>
        <v>12201</v>
      </c>
      <c r="L25" s="24">
        <f t="shared" si="3"/>
        <v>517</v>
      </c>
      <c r="M25" s="24">
        <f t="shared" si="4"/>
        <v>13726.349999999999</v>
      </c>
      <c r="N25" s="25">
        <f t="shared" si="5"/>
        <v>232.65</v>
      </c>
      <c r="O25" s="24">
        <f t="shared" si="6"/>
        <v>13493.699999999999</v>
      </c>
      <c r="P25" s="24">
        <f t="shared" si="7"/>
        <v>14011</v>
      </c>
      <c r="Q25" s="26">
        <v>0</v>
      </c>
      <c r="R25" s="24">
        <f t="shared" si="8"/>
        <v>0</v>
      </c>
      <c r="S25" s="23">
        <f t="shared" si="9"/>
        <v>608251</v>
      </c>
      <c r="T25" s="24">
        <f t="shared" si="10"/>
        <v>129250</v>
      </c>
      <c r="U25" s="27">
        <v>129250</v>
      </c>
      <c r="V25" s="24" t="s">
        <v>50</v>
      </c>
      <c r="W25" s="24">
        <f t="shared" si="11"/>
        <v>479001</v>
      </c>
      <c r="X25" s="24">
        <v>479001</v>
      </c>
      <c r="Y25" s="24" t="s">
        <v>82</v>
      </c>
      <c r="Z25" s="58">
        <f t="shared" si="12"/>
        <v>0</v>
      </c>
      <c r="AA25" s="58" t="s">
        <v>89</v>
      </c>
      <c r="AB25" s="60">
        <v>1800003317</v>
      </c>
      <c r="AC25" s="59" t="s">
        <v>40</v>
      </c>
    </row>
    <row r="26" spans="1:29" x14ac:dyDescent="0.25">
      <c r="A26" s="19">
        <v>2</v>
      </c>
      <c r="B26" s="20" t="s">
        <v>90</v>
      </c>
      <c r="C26" s="21">
        <v>14001</v>
      </c>
      <c r="D26" s="22">
        <v>21978</v>
      </c>
      <c r="E26" s="22" t="s">
        <v>36</v>
      </c>
      <c r="F26" s="22">
        <v>2035</v>
      </c>
      <c r="G26" s="20" t="s">
        <v>37</v>
      </c>
      <c r="H26" s="23">
        <v>28002</v>
      </c>
      <c r="I26" s="23">
        <f t="shared" si="0"/>
        <v>5040</v>
      </c>
      <c r="J26" s="23">
        <f t="shared" si="1"/>
        <v>33042</v>
      </c>
      <c r="K26" s="23">
        <f t="shared" si="2"/>
        <v>661</v>
      </c>
      <c r="L26" s="24">
        <f t="shared" si="3"/>
        <v>28.001999999999999</v>
      </c>
      <c r="M26" s="24">
        <f t="shared" si="4"/>
        <v>743.45309999999995</v>
      </c>
      <c r="N26" s="25">
        <f t="shared" si="5"/>
        <v>12.600899999999999</v>
      </c>
      <c r="O26" s="24">
        <f t="shared" si="6"/>
        <v>730.85219999999993</v>
      </c>
      <c r="P26" s="24">
        <f t="shared" si="7"/>
        <v>759</v>
      </c>
      <c r="Q26" s="26">
        <v>0</v>
      </c>
      <c r="R26" s="24">
        <f t="shared" si="8"/>
        <v>0</v>
      </c>
      <c r="S26" s="23">
        <f t="shared" si="9"/>
        <v>32944</v>
      </c>
      <c r="T26" s="24">
        <f t="shared" si="10"/>
        <v>7001</v>
      </c>
      <c r="U26" s="27">
        <f>+T26</f>
        <v>7001</v>
      </c>
      <c r="V26" s="24" t="s">
        <v>38</v>
      </c>
      <c r="W26" s="24">
        <f t="shared" si="11"/>
        <v>25944</v>
      </c>
      <c r="X26" s="24">
        <v>25943</v>
      </c>
      <c r="Y26" s="24" t="s">
        <v>32</v>
      </c>
      <c r="Z26" s="58">
        <f t="shared" si="12"/>
        <v>0</v>
      </c>
      <c r="AA26" s="58" t="s">
        <v>91</v>
      </c>
      <c r="AB26" s="60">
        <v>1800003310</v>
      </c>
      <c r="AC26" s="59" t="s">
        <v>40</v>
      </c>
    </row>
    <row r="27" spans="1:29" ht="25.5" x14ac:dyDescent="0.25">
      <c r="A27" s="19">
        <v>8.1999999999999993</v>
      </c>
      <c r="B27" s="20" t="s">
        <v>92</v>
      </c>
      <c r="C27" s="21">
        <v>67000</v>
      </c>
      <c r="D27" s="22">
        <v>21978</v>
      </c>
      <c r="E27" s="22" t="s">
        <v>93</v>
      </c>
      <c r="F27" s="22">
        <v>2036</v>
      </c>
      <c r="G27" s="20" t="s">
        <v>94</v>
      </c>
      <c r="H27" s="23">
        <v>549400</v>
      </c>
      <c r="I27" s="23">
        <f t="shared" si="0"/>
        <v>98892</v>
      </c>
      <c r="J27" s="23">
        <f t="shared" si="1"/>
        <v>648292</v>
      </c>
      <c r="K27" s="23">
        <f t="shared" si="2"/>
        <v>12966</v>
      </c>
      <c r="L27" s="24">
        <f t="shared" si="3"/>
        <v>549.4</v>
      </c>
      <c r="M27" s="24">
        <f t="shared" si="4"/>
        <v>14586.57</v>
      </c>
      <c r="N27" s="25">
        <f t="shared" si="5"/>
        <v>247.23000000000002</v>
      </c>
      <c r="O27" s="24">
        <f t="shared" si="6"/>
        <v>14339.34</v>
      </c>
      <c r="P27" s="24">
        <f t="shared" si="7"/>
        <v>14889</v>
      </c>
      <c r="Q27" s="26">
        <v>0.02</v>
      </c>
      <c r="R27" s="24">
        <f t="shared" si="8"/>
        <v>10988</v>
      </c>
      <c r="S27" s="23">
        <f t="shared" si="9"/>
        <v>635381</v>
      </c>
      <c r="T27" s="24">
        <f t="shared" si="10"/>
        <v>137350</v>
      </c>
      <c r="U27" s="27">
        <v>137350</v>
      </c>
      <c r="V27" s="24" t="s">
        <v>50</v>
      </c>
      <c r="W27" s="24">
        <f t="shared" si="11"/>
        <v>498031</v>
      </c>
      <c r="X27" s="24"/>
      <c r="Y27" s="24">
        <v>0</v>
      </c>
      <c r="Z27" s="58">
        <f t="shared" si="12"/>
        <v>498031</v>
      </c>
      <c r="AA27" s="58"/>
      <c r="AB27" s="60"/>
      <c r="AC27" s="59"/>
    </row>
    <row r="28" spans="1:29" x14ac:dyDescent="0.25">
      <c r="A28" s="19">
        <v>50</v>
      </c>
      <c r="B28" s="20" t="s">
        <v>72</v>
      </c>
      <c r="C28" s="21">
        <v>531</v>
      </c>
      <c r="D28" s="22">
        <v>21978</v>
      </c>
      <c r="E28" s="22" t="s">
        <v>36</v>
      </c>
      <c r="F28" s="22">
        <v>2037</v>
      </c>
      <c r="G28" s="20" t="s">
        <v>88</v>
      </c>
      <c r="H28" s="23">
        <v>26550</v>
      </c>
      <c r="I28" s="23">
        <f t="shared" si="0"/>
        <v>4779</v>
      </c>
      <c r="J28" s="23">
        <f t="shared" si="1"/>
        <v>31329</v>
      </c>
      <c r="K28" s="23">
        <f t="shared" si="2"/>
        <v>627</v>
      </c>
      <c r="L28" s="24">
        <f t="shared" si="3"/>
        <v>26.55</v>
      </c>
      <c r="M28" s="24">
        <f t="shared" si="4"/>
        <v>704.90249999999992</v>
      </c>
      <c r="N28" s="25">
        <f t="shared" si="5"/>
        <v>11.9475</v>
      </c>
      <c r="O28" s="24">
        <f t="shared" si="6"/>
        <v>692.95499999999993</v>
      </c>
      <c r="P28" s="24">
        <f t="shared" si="7"/>
        <v>720</v>
      </c>
      <c r="Q28" s="26">
        <v>0</v>
      </c>
      <c r="R28" s="24">
        <f t="shared" si="8"/>
        <v>0</v>
      </c>
      <c r="S28" s="23">
        <f t="shared" si="9"/>
        <v>31236</v>
      </c>
      <c r="T28" s="24">
        <f t="shared" si="10"/>
        <v>6638</v>
      </c>
      <c r="U28" s="27">
        <v>6638</v>
      </c>
      <c r="V28" s="24" t="s">
        <v>50</v>
      </c>
      <c r="W28" s="24">
        <f t="shared" si="11"/>
        <v>24599</v>
      </c>
      <c r="X28" s="24">
        <v>24598</v>
      </c>
      <c r="Y28" s="24" t="s">
        <v>82</v>
      </c>
      <c r="Z28" s="58">
        <f t="shared" si="12"/>
        <v>0</v>
      </c>
      <c r="AA28" s="58" t="s">
        <v>95</v>
      </c>
      <c r="AB28" s="60">
        <v>1800003318</v>
      </c>
      <c r="AC28" s="59" t="s">
        <v>40</v>
      </c>
    </row>
    <row r="29" spans="1:29" x14ac:dyDescent="0.25">
      <c r="A29" s="19">
        <v>3</v>
      </c>
      <c r="B29" s="20" t="s">
        <v>96</v>
      </c>
      <c r="C29" s="21">
        <v>90002</v>
      </c>
      <c r="D29" s="22">
        <v>21978</v>
      </c>
      <c r="E29" s="22" t="s">
        <v>36</v>
      </c>
      <c r="F29" s="22">
        <v>2040</v>
      </c>
      <c r="G29" s="20" t="s">
        <v>63</v>
      </c>
      <c r="H29" s="23">
        <v>270006</v>
      </c>
      <c r="I29" s="23">
        <f t="shared" si="0"/>
        <v>48601</v>
      </c>
      <c r="J29" s="23">
        <f t="shared" si="1"/>
        <v>318607</v>
      </c>
      <c r="K29" s="23">
        <f t="shared" si="2"/>
        <v>6372</v>
      </c>
      <c r="L29" s="24">
        <f t="shared" si="3"/>
        <v>270.00600000000003</v>
      </c>
      <c r="M29" s="24">
        <f t="shared" si="4"/>
        <v>7168.6593000000003</v>
      </c>
      <c r="N29" s="25">
        <f t="shared" si="5"/>
        <v>121.5027</v>
      </c>
      <c r="O29" s="24">
        <f t="shared" si="6"/>
        <v>7047.1566000000003</v>
      </c>
      <c r="P29" s="24">
        <f t="shared" si="7"/>
        <v>7317</v>
      </c>
      <c r="Q29" s="26">
        <v>0</v>
      </c>
      <c r="R29" s="24">
        <f t="shared" si="8"/>
        <v>0</v>
      </c>
      <c r="S29" s="23">
        <f t="shared" si="9"/>
        <v>317662</v>
      </c>
      <c r="T29" s="24">
        <f t="shared" si="10"/>
        <v>67502</v>
      </c>
      <c r="U29" s="27">
        <v>67502</v>
      </c>
      <c r="V29" s="24" t="s">
        <v>43</v>
      </c>
      <c r="W29" s="24">
        <f t="shared" si="11"/>
        <v>250161</v>
      </c>
      <c r="X29" s="24"/>
      <c r="Y29" s="24">
        <v>0</v>
      </c>
      <c r="Z29" s="58">
        <f t="shared" si="12"/>
        <v>250160</v>
      </c>
      <c r="AA29" s="58"/>
      <c r="AB29" s="60"/>
      <c r="AC29" s="59"/>
    </row>
    <row r="30" spans="1:29" x14ac:dyDescent="0.25">
      <c r="A30" s="19">
        <v>5</v>
      </c>
      <c r="B30" s="20" t="s">
        <v>56</v>
      </c>
      <c r="C30" s="21">
        <v>80000</v>
      </c>
      <c r="D30" s="22">
        <v>21979</v>
      </c>
      <c r="E30" s="22" t="s">
        <v>36</v>
      </c>
      <c r="F30" s="22">
        <v>2043</v>
      </c>
      <c r="G30" s="20" t="s">
        <v>37</v>
      </c>
      <c r="H30" s="23">
        <v>400000</v>
      </c>
      <c r="I30" s="23">
        <f t="shared" si="0"/>
        <v>72000</v>
      </c>
      <c r="J30" s="23">
        <f t="shared" si="1"/>
        <v>472000</v>
      </c>
      <c r="K30" s="23">
        <f t="shared" si="2"/>
        <v>9440</v>
      </c>
      <c r="L30" s="24">
        <f t="shared" si="3"/>
        <v>400</v>
      </c>
      <c r="M30" s="24">
        <f t="shared" si="4"/>
        <v>10620</v>
      </c>
      <c r="N30" s="25">
        <f t="shared" si="5"/>
        <v>180</v>
      </c>
      <c r="O30" s="24">
        <f t="shared" si="6"/>
        <v>10440</v>
      </c>
      <c r="P30" s="24">
        <f t="shared" si="7"/>
        <v>10840</v>
      </c>
      <c r="Q30" s="26">
        <v>0</v>
      </c>
      <c r="R30" s="24">
        <f t="shared" si="8"/>
        <v>0</v>
      </c>
      <c r="S30" s="23">
        <f t="shared" si="9"/>
        <v>470600</v>
      </c>
      <c r="T30" s="24">
        <f t="shared" si="10"/>
        <v>100000</v>
      </c>
      <c r="U30" s="27">
        <f>+T30</f>
        <v>100000</v>
      </c>
      <c r="V30" s="24" t="s">
        <v>38</v>
      </c>
      <c r="W30" s="24">
        <f t="shared" si="11"/>
        <v>370600</v>
      </c>
      <c r="X30" s="24">
        <v>370600</v>
      </c>
      <c r="Y30" s="24" t="s">
        <v>32</v>
      </c>
      <c r="Z30" s="58">
        <f t="shared" si="12"/>
        <v>0</v>
      </c>
      <c r="AA30" s="58" t="s">
        <v>97</v>
      </c>
      <c r="AB30" s="60">
        <v>1800003311</v>
      </c>
      <c r="AC30" s="59" t="s">
        <v>40</v>
      </c>
    </row>
    <row r="31" spans="1:29" x14ac:dyDescent="0.25">
      <c r="A31" s="19">
        <v>670</v>
      </c>
      <c r="B31" s="20" t="s">
        <v>98</v>
      </c>
      <c r="C31" s="21">
        <v>309</v>
      </c>
      <c r="D31" s="22">
        <v>21979</v>
      </c>
      <c r="E31" s="22" t="s">
        <v>30</v>
      </c>
      <c r="F31" s="22">
        <v>2046</v>
      </c>
      <c r="G31" s="20" t="s">
        <v>99</v>
      </c>
      <c r="H31" s="23">
        <v>207030</v>
      </c>
      <c r="I31" s="23">
        <f t="shared" si="0"/>
        <v>37265</v>
      </c>
      <c r="J31" s="23">
        <f t="shared" si="1"/>
        <v>244295</v>
      </c>
      <c r="K31" s="23">
        <f t="shared" si="2"/>
        <v>4886</v>
      </c>
      <c r="L31" s="24">
        <f t="shared" si="3"/>
        <v>207.03</v>
      </c>
      <c r="M31" s="24">
        <f t="shared" si="4"/>
        <v>5496.6464999999998</v>
      </c>
      <c r="N31" s="25">
        <f t="shared" si="5"/>
        <v>93.163499999999999</v>
      </c>
      <c r="O31" s="24">
        <f t="shared" si="6"/>
        <v>5403.4830000000002</v>
      </c>
      <c r="P31" s="24">
        <f t="shared" si="7"/>
        <v>5611</v>
      </c>
      <c r="Q31" s="26">
        <v>0</v>
      </c>
      <c r="R31" s="24">
        <f t="shared" si="8"/>
        <v>0</v>
      </c>
      <c r="S31" s="23">
        <f t="shared" si="9"/>
        <v>243571</v>
      </c>
      <c r="T31" s="24">
        <f t="shared" si="10"/>
        <v>51758</v>
      </c>
      <c r="U31" s="27">
        <v>51758</v>
      </c>
      <c r="V31" s="24" t="s">
        <v>43</v>
      </c>
      <c r="W31" s="24">
        <f t="shared" si="11"/>
        <v>191813</v>
      </c>
      <c r="X31" s="24">
        <v>191812</v>
      </c>
      <c r="Y31" s="24" t="s">
        <v>82</v>
      </c>
      <c r="Z31" s="58">
        <f t="shared" si="12"/>
        <v>1</v>
      </c>
      <c r="AA31" s="58" t="s">
        <v>100</v>
      </c>
      <c r="AB31" s="60">
        <v>1800003316</v>
      </c>
      <c r="AC31" s="59" t="s">
        <v>40</v>
      </c>
    </row>
    <row r="32" spans="1:29" x14ac:dyDescent="0.25">
      <c r="A32" s="19">
        <v>2</v>
      </c>
      <c r="B32" s="20" t="s">
        <v>101</v>
      </c>
      <c r="C32" s="21">
        <v>80006</v>
      </c>
      <c r="D32" s="22">
        <v>21979</v>
      </c>
      <c r="E32" s="22" t="s">
        <v>36</v>
      </c>
      <c r="F32" s="22">
        <v>2055</v>
      </c>
      <c r="G32" s="20" t="s">
        <v>37</v>
      </c>
      <c r="H32" s="23">
        <v>160012</v>
      </c>
      <c r="I32" s="23">
        <f t="shared" si="0"/>
        <v>28802</v>
      </c>
      <c r="J32" s="23">
        <f t="shared" si="1"/>
        <v>188814</v>
      </c>
      <c r="K32" s="23">
        <f t="shared" si="2"/>
        <v>3776</v>
      </c>
      <c r="L32" s="24">
        <f t="shared" si="3"/>
        <v>160.012</v>
      </c>
      <c r="M32" s="24">
        <f t="shared" si="4"/>
        <v>4248.3185999999996</v>
      </c>
      <c r="N32" s="25">
        <f t="shared" si="5"/>
        <v>72.005399999999995</v>
      </c>
      <c r="O32" s="24">
        <f t="shared" si="6"/>
        <v>4176.3131999999996</v>
      </c>
      <c r="P32" s="24">
        <f t="shared" si="7"/>
        <v>4336</v>
      </c>
      <c r="Q32" s="26">
        <v>0</v>
      </c>
      <c r="R32" s="24">
        <f t="shared" si="8"/>
        <v>0</v>
      </c>
      <c r="S32" s="23">
        <f t="shared" si="9"/>
        <v>188254</v>
      </c>
      <c r="T32" s="24">
        <f t="shared" si="10"/>
        <v>40003</v>
      </c>
      <c r="U32" s="27">
        <f>+T32</f>
        <v>40003</v>
      </c>
      <c r="V32" s="24" t="s">
        <v>38</v>
      </c>
      <c r="W32" s="24">
        <f t="shared" si="11"/>
        <v>148251</v>
      </c>
      <c r="X32" s="24">
        <v>148251</v>
      </c>
      <c r="Y32" s="24" t="s">
        <v>32</v>
      </c>
      <c r="Z32" s="58">
        <f t="shared" si="12"/>
        <v>0</v>
      </c>
      <c r="AA32" s="58" t="s">
        <v>102</v>
      </c>
      <c r="AB32" s="60">
        <v>1800003312</v>
      </c>
      <c r="AC32" s="59" t="s">
        <v>40</v>
      </c>
    </row>
    <row r="33" spans="1:29" x14ac:dyDescent="0.25">
      <c r="A33" s="19">
        <v>1</v>
      </c>
      <c r="B33" s="20" t="s">
        <v>103</v>
      </c>
      <c r="C33" s="21">
        <v>29502</v>
      </c>
      <c r="D33" s="22">
        <v>21979</v>
      </c>
      <c r="E33" s="22" t="s">
        <v>36</v>
      </c>
      <c r="F33" s="22">
        <v>2059</v>
      </c>
      <c r="G33" s="20" t="s">
        <v>37</v>
      </c>
      <c r="H33" s="23">
        <v>29502</v>
      </c>
      <c r="I33" s="23">
        <f t="shared" si="0"/>
        <v>5310</v>
      </c>
      <c r="J33" s="23">
        <f t="shared" si="1"/>
        <v>34812</v>
      </c>
      <c r="K33" s="23">
        <f t="shared" si="2"/>
        <v>696</v>
      </c>
      <c r="L33" s="24">
        <f t="shared" si="3"/>
        <v>29.501999999999999</v>
      </c>
      <c r="M33" s="24">
        <f t="shared" si="4"/>
        <v>783.27809999999988</v>
      </c>
      <c r="N33" s="25">
        <f t="shared" si="5"/>
        <v>13.2759</v>
      </c>
      <c r="O33" s="24">
        <f t="shared" si="6"/>
        <v>770.0021999999999</v>
      </c>
      <c r="P33" s="24">
        <f t="shared" si="7"/>
        <v>800</v>
      </c>
      <c r="Q33" s="26">
        <v>0</v>
      </c>
      <c r="R33" s="24">
        <f t="shared" si="8"/>
        <v>0</v>
      </c>
      <c r="S33" s="23">
        <f t="shared" si="9"/>
        <v>34709</v>
      </c>
      <c r="T33" s="24">
        <f t="shared" si="10"/>
        <v>7376</v>
      </c>
      <c r="U33" s="27">
        <f>+T33</f>
        <v>7376</v>
      </c>
      <c r="V33" s="24" t="s">
        <v>38</v>
      </c>
      <c r="W33" s="24">
        <f t="shared" si="11"/>
        <v>27334</v>
      </c>
      <c r="X33" s="24">
        <v>27332</v>
      </c>
      <c r="Y33" s="24" t="s">
        <v>32</v>
      </c>
      <c r="Z33" s="58">
        <f t="shared" si="12"/>
        <v>1</v>
      </c>
      <c r="AA33" s="58" t="s">
        <v>104</v>
      </c>
      <c r="AB33" s="60">
        <v>1800003313</v>
      </c>
      <c r="AC33" s="59" t="s">
        <v>40</v>
      </c>
    </row>
    <row r="34" spans="1:29" x14ac:dyDescent="0.25">
      <c r="A34" s="19">
        <v>30</v>
      </c>
      <c r="B34" s="20" t="s">
        <v>105</v>
      </c>
      <c r="C34" s="21">
        <v>702</v>
      </c>
      <c r="D34" s="22">
        <v>21979</v>
      </c>
      <c r="E34" s="22" t="s">
        <v>36</v>
      </c>
      <c r="F34" s="22">
        <v>2062</v>
      </c>
      <c r="G34" s="20" t="s">
        <v>63</v>
      </c>
      <c r="H34" s="23">
        <v>21060</v>
      </c>
      <c r="I34" s="23">
        <f t="shared" si="0"/>
        <v>3791</v>
      </c>
      <c r="J34" s="23">
        <f t="shared" si="1"/>
        <v>24851</v>
      </c>
      <c r="K34" s="23">
        <f t="shared" si="2"/>
        <v>497</v>
      </c>
      <c r="L34" s="24">
        <f t="shared" si="3"/>
        <v>21.06</v>
      </c>
      <c r="M34" s="24">
        <f t="shared" si="4"/>
        <v>559.14299999999992</v>
      </c>
      <c r="N34" s="25">
        <f t="shared" si="5"/>
        <v>9.4770000000000003</v>
      </c>
      <c r="O34" s="24">
        <f t="shared" si="6"/>
        <v>549.66599999999994</v>
      </c>
      <c r="P34" s="24">
        <f t="shared" si="7"/>
        <v>571</v>
      </c>
      <c r="Q34" s="26">
        <v>0</v>
      </c>
      <c r="R34" s="24">
        <f t="shared" si="8"/>
        <v>0</v>
      </c>
      <c r="S34" s="23">
        <f t="shared" si="9"/>
        <v>24777</v>
      </c>
      <c r="T34" s="24">
        <f t="shared" si="10"/>
        <v>5265</v>
      </c>
      <c r="U34" s="27">
        <v>5265</v>
      </c>
      <c r="V34" s="24" t="s">
        <v>43</v>
      </c>
      <c r="W34" s="24">
        <f t="shared" si="11"/>
        <v>19512</v>
      </c>
      <c r="X34" s="24">
        <v>19512</v>
      </c>
      <c r="Y34" s="24" t="s">
        <v>43</v>
      </c>
      <c r="Z34" s="58">
        <f t="shared" si="12"/>
        <v>0</v>
      </c>
      <c r="AA34" s="58" t="s">
        <v>106</v>
      </c>
      <c r="AB34" s="60">
        <v>1800003161</v>
      </c>
      <c r="AC34" s="59" t="s">
        <v>50</v>
      </c>
    </row>
    <row r="35" spans="1:29" x14ac:dyDescent="0.25">
      <c r="A35" s="19">
        <v>150</v>
      </c>
      <c r="B35" s="20" t="s">
        <v>62</v>
      </c>
      <c r="C35" s="21">
        <v>571</v>
      </c>
      <c r="D35" s="22">
        <v>21980</v>
      </c>
      <c r="E35" s="22" t="s">
        <v>36</v>
      </c>
      <c r="F35" s="22">
        <v>2067</v>
      </c>
      <c r="G35" s="20" t="s">
        <v>88</v>
      </c>
      <c r="H35" s="23">
        <v>85650</v>
      </c>
      <c r="I35" s="23">
        <f t="shared" si="0"/>
        <v>15417</v>
      </c>
      <c r="J35" s="23">
        <f t="shared" si="1"/>
        <v>101067</v>
      </c>
      <c r="K35" s="23">
        <f t="shared" si="2"/>
        <v>2021</v>
      </c>
      <c r="L35" s="24">
        <f t="shared" si="3"/>
        <v>85.65</v>
      </c>
      <c r="M35" s="24">
        <f t="shared" si="4"/>
        <v>2274.0074999999997</v>
      </c>
      <c r="N35" s="25">
        <f t="shared" si="5"/>
        <v>38.542500000000004</v>
      </c>
      <c r="O35" s="24">
        <f t="shared" si="6"/>
        <v>2235.4649999999997</v>
      </c>
      <c r="P35" s="24">
        <f t="shared" si="7"/>
        <v>2321</v>
      </c>
      <c r="Q35" s="26">
        <v>0</v>
      </c>
      <c r="R35" s="24">
        <f t="shared" si="8"/>
        <v>0</v>
      </c>
      <c r="S35" s="23">
        <f t="shared" si="9"/>
        <v>100767</v>
      </c>
      <c r="T35" s="24">
        <f t="shared" si="10"/>
        <v>21413</v>
      </c>
      <c r="U35" s="27">
        <v>21413</v>
      </c>
      <c r="V35" s="24" t="s">
        <v>50</v>
      </c>
      <c r="W35" s="24">
        <f t="shared" si="11"/>
        <v>79355</v>
      </c>
      <c r="X35" s="24">
        <v>79354</v>
      </c>
      <c r="Y35" s="24" t="s">
        <v>44</v>
      </c>
      <c r="Z35" s="58">
        <f t="shared" si="12"/>
        <v>0</v>
      </c>
      <c r="AA35" s="58" t="s">
        <v>107</v>
      </c>
      <c r="AB35" s="60">
        <v>1800003248</v>
      </c>
      <c r="AC35" s="59" t="s">
        <v>44</v>
      </c>
    </row>
    <row r="36" spans="1:29" x14ac:dyDescent="0.25">
      <c r="A36" s="19">
        <v>1</v>
      </c>
      <c r="B36" s="20" t="s">
        <v>108</v>
      </c>
      <c r="C36" s="21">
        <v>54000</v>
      </c>
      <c r="D36" s="22">
        <v>21980</v>
      </c>
      <c r="E36" s="22" t="s">
        <v>36</v>
      </c>
      <c r="F36" s="22">
        <v>2069</v>
      </c>
      <c r="G36" s="20" t="s">
        <v>63</v>
      </c>
      <c r="H36" s="23">
        <v>54000</v>
      </c>
      <c r="I36" s="23">
        <f t="shared" si="0"/>
        <v>9720</v>
      </c>
      <c r="J36" s="23">
        <f t="shared" si="1"/>
        <v>63720</v>
      </c>
      <c r="K36" s="23">
        <f t="shared" si="2"/>
        <v>1274</v>
      </c>
      <c r="L36" s="24">
        <f t="shared" si="3"/>
        <v>54</v>
      </c>
      <c r="M36" s="24">
        <f t="shared" si="4"/>
        <v>1433.6999999999998</v>
      </c>
      <c r="N36" s="25">
        <f t="shared" si="5"/>
        <v>24.3</v>
      </c>
      <c r="O36" s="24">
        <f t="shared" si="6"/>
        <v>1409.3999999999999</v>
      </c>
      <c r="P36" s="24">
        <f t="shared" si="7"/>
        <v>1463</v>
      </c>
      <c r="Q36" s="26">
        <v>0</v>
      </c>
      <c r="R36" s="24">
        <f t="shared" si="8"/>
        <v>0</v>
      </c>
      <c r="S36" s="23">
        <f t="shared" si="9"/>
        <v>63531</v>
      </c>
      <c r="T36" s="24">
        <f t="shared" si="10"/>
        <v>13500</v>
      </c>
      <c r="U36" s="27">
        <v>13500</v>
      </c>
      <c r="V36" s="24" t="s">
        <v>43</v>
      </c>
      <c r="W36" s="24">
        <f t="shared" si="11"/>
        <v>50031</v>
      </c>
      <c r="X36" s="24"/>
      <c r="Y36" s="24">
        <v>0</v>
      </c>
      <c r="Z36" s="58">
        <f t="shared" si="12"/>
        <v>50031</v>
      </c>
      <c r="AA36" s="58"/>
      <c r="AB36" s="60"/>
      <c r="AC36" s="59"/>
    </row>
    <row r="37" spans="1:29" x14ac:dyDescent="0.25">
      <c r="A37" s="19">
        <v>3</v>
      </c>
      <c r="B37" s="20" t="s">
        <v>109</v>
      </c>
      <c r="C37" s="21">
        <v>25001</v>
      </c>
      <c r="D37" s="22">
        <v>21980</v>
      </c>
      <c r="E37" s="22" t="s">
        <v>36</v>
      </c>
      <c r="F37" s="22">
        <v>2071</v>
      </c>
      <c r="G37" s="20" t="s">
        <v>37</v>
      </c>
      <c r="H37" s="23">
        <v>75003</v>
      </c>
      <c r="I37" s="23">
        <f t="shared" si="0"/>
        <v>13501</v>
      </c>
      <c r="J37" s="23">
        <f t="shared" si="1"/>
        <v>88504</v>
      </c>
      <c r="K37" s="23">
        <f t="shared" si="2"/>
        <v>1770</v>
      </c>
      <c r="L37" s="24">
        <f t="shared" si="3"/>
        <v>75.003</v>
      </c>
      <c r="M37" s="24">
        <f t="shared" si="4"/>
        <v>1991.3296499999997</v>
      </c>
      <c r="N37" s="25">
        <f t="shared" si="5"/>
        <v>33.751349999999995</v>
      </c>
      <c r="O37" s="24">
        <f t="shared" si="6"/>
        <v>1957.5782999999997</v>
      </c>
      <c r="P37" s="24">
        <f t="shared" si="7"/>
        <v>2033</v>
      </c>
      <c r="Q37" s="26">
        <v>0</v>
      </c>
      <c r="R37" s="24">
        <f t="shared" si="8"/>
        <v>0</v>
      </c>
      <c r="S37" s="23">
        <f t="shared" si="9"/>
        <v>88241</v>
      </c>
      <c r="T37" s="24">
        <f t="shared" si="10"/>
        <v>18751</v>
      </c>
      <c r="U37" s="27">
        <f>+T37</f>
        <v>18751</v>
      </c>
      <c r="V37" s="24" t="s">
        <v>38</v>
      </c>
      <c r="W37" s="24">
        <f t="shared" si="11"/>
        <v>69490</v>
      </c>
      <c r="X37" s="24">
        <v>69491</v>
      </c>
      <c r="Y37" s="24" t="s">
        <v>32</v>
      </c>
      <c r="Z37" s="58">
        <f t="shared" si="12"/>
        <v>-1</v>
      </c>
      <c r="AA37" s="58" t="s">
        <v>110</v>
      </c>
      <c r="AB37" s="60">
        <v>1800003314</v>
      </c>
      <c r="AC37" s="59" t="s">
        <v>40</v>
      </c>
    </row>
    <row r="38" spans="1:29" x14ac:dyDescent="0.25">
      <c r="A38" s="19">
        <v>3</v>
      </c>
      <c r="B38" s="20" t="s">
        <v>56</v>
      </c>
      <c r="C38" s="21">
        <v>70001</v>
      </c>
      <c r="D38" s="22">
        <v>21980</v>
      </c>
      <c r="E38" s="22" t="s">
        <v>36</v>
      </c>
      <c r="F38" s="22">
        <v>2086</v>
      </c>
      <c r="G38" s="20" t="s">
        <v>111</v>
      </c>
      <c r="H38" s="23">
        <v>210003</v>
      </c>
      <c r="I38" s="23">
        <f t="shared" si="0"/>
        <v>37801</v>
      </c>
      <c r="J38" s="23">
        <f t="shared" si="1"/>
        <v>247804</v>
      </c>
      <c r="K38" s="23">
        <f t="shared" si="2"/>
        <v>4956</v>
      </c>
      <c r="L38" s="24">
        <f t="shared" si="3"/>
        <v>210.00300000000001</v>
      </c>
      <c r="M38" s="24">
        <f t="shared" si="4"/>
        <v>5575.5796499999997</v>
      </c>
      <c r="N38" s="25">
        <f t="shared" si="5"/>
        <v>94.501350000000002</v>
      </c>
      <c r="O38" s="24">
        <f t="shared" si="6"/>
        <v>5481.0782999999992</v>
      </c>
      <c r="P38" s="24">
        <f t="shared" si="7"/>
        <v>5691</v>
      </c>
      <c r="Q38" s="26">
        <v>0</v>
      </c>
      <c r="R38" s="24">
        <f t="shared" si="8"/>
        <v>0</v>
      </c>
      <c r="S38" s="23">
        <f t="shared" si="9"/>
        <v>247069</v>
      </c>
      <c r="T38" s="24">
        <f t="shared" si="10"/>
        <v>52501</v>
      </c>
      <c r="U38" s="27">
        <v>52501</v>
      </c>
      <c r="V38" s="24" t="s">
        <v>55</v>
      </c>
      <c r="W38" s="24">
        <f t="shared" si="11"/>
        <v>194568</v>
      </c>
      <c r="X38" s="24">
        <v>194568</v>
      </c>
      <c r="Y38" s="24" t="s">
        <v>55</v>
      </c>
      <c r="Z38" s="58">
        <f t="shared" si="12"/>
        <v>0</v>
      </c>
      <c r="AA38" s="58" t="s">
        <v>112</v>
      </c>
      <c r="AB38" s="60">
        <v>1800003226</v>
      </c>
      <c r="AC38" s="59" t="s">
        <v>113</v>
      </c>
    </row>
    <row r="39" spans="1:29" x14ac:dyDescent="0.25">
      <c r="A39" s="19">
        <v>2</v>
      </c>
      <c r="B39" s="20" t="s">
        <v>114</v>
      </c>
      <c r="C39" s="21">
        <v>15006</v>
      </c>
      <c r="D39" s="22">
        <v>21980</v>
      </c>
      <c r="E39" s="22" t="s">
        <v>36</v>
      </c>
      <c r="F39" s="22">
        <v>2089</v>
      </c>
      <c r="G39" s="20" t="s">
        <v>115</v>
      </c>
      <c r="H39" s="23">
        <v>30012</v>
      </c>
      <c r="I39" s="23">
        <f t="shared" si="0"/>
        <v>5402</v>
      </c>
      <c r="J39" s="23">
        <f t="shared" si="1"/>
        <v>35414</v>
      </c>
      <c r="K39" s="23">
        <f t="shared" si="2"/>
        <v>708</v>
      </c>
      <c r="L39" s="24">
        <f t="shared" si="3"/>
        <v>30.012</v>
      </c>
      <c r="M39" s="24">
        <f t="shared" si="4"/>
        <v>796.81859999999995</v>
      </c>
      <c r="N39" s="25">
        <f t="shared" si="5"/>
        <v>13.5054</v>
      </c>
      <c r="O39" s="24">
        <f t="shared" si="6"/>
        <v>783.31319999999994</v>
      </c>
      <c r="P39" s="24">
        <f t="shared" si="7"/>
        <v>813</v>
      </c>
      <c r="Q39" s="26">
        <v>0</v>
      </c>
      <c r="R39" s="24">
        <f t="shared" si="8"/>
        <v>0</v>
      </c>
      <c r="S39" s="23">
        <f t="shared" si="9"/>
        <v>35309</v>
      </c>
      <c r="T39" s="24">
        <f t="shared" si="10"/>
        <v>7503</v>
      </c>
      <c r="U39" s="27">
        <v>7503</v>
      </c>
      <c r="V39" s="24" t="s">
        <v>50</v>
      </c>
      <c r="W39" s="24">
        <f t="shared" si="11"/>
        <v>27806</v>
      </c>
      <c r="X39" s="24"/>
      <c r="Y39" s="24">
        <v>0</v>
      </c>
      <c r="Z39" s="58">
        <f t="shared" si="12"/>
        <v>27806</v>
      </c>
      <c r="AA39" s="58"/>
      <c r="AB39" s="60"/>
      <c r="AC39" s="59"/>
    </row>
    <row r="40" spans="1:29" ht="15.75" thickBot="1" x14ac:dyDescent="0.3">
      <c r="A40" s="28">
        <v>3</v>
      </c>
      <c r="B40" s="29" t="s">
        <v>56</v>
      </c>
      <c r="C40" s="30">
        <v>40003</v>
      </c>
      <c r="D40" s="31">
        <v>21980</v>
      </c>
      <c r="E40" s="31" t="s">
        <v>36</v>
      </c>
      <c r="F40" s="31">
        <v>2091</v>
      </c>
      <c r="G40" s="29" t="s">
        <v>115</v>
      </c>
      <c r="H40" s="32">
        <v>120009</v>
      </c>
      <c r="I40" s="32">
        <f t="shared" si="0"/>
        <v>21602</v>
      </c>
      <c r="J40" s="32">
        <f t="shared" si="1"/>
        <v>141611</v>
      </c>
      <c r="K40" s="32">
        <f t="shared" si="2"/>
        <v>2832</v>
      </c>
      <c r="L40" s="33">
        <f t="shared" si="3"/>
        <v>120.009</v>
      </c>
      <c r="M40" s="33">
        <f t="shared" si="4"/>
        <v>3186.2389499999995</v>
      </c>
      <c r="N40" s="34">
        <f t="shared" si="5"/>
        <v>54.004049999999999</v>
      </c>
      <c r="O40" s="33">
        <f t="shared" si="6"/>
        <v>3132.2348999999995</v>
      </c>
      <c r="P40" s="33">
        <f t="shared" si="7"/>
        <v>3252</v>
      </c>
      <c r="Q40" s="35">
        <v>0</v>
      </c>
      <c r="R40" s="33">
        <f t="shared" si="8"/>
        <v>0</v>
      </c>
      <c r="S40" s="32">
        <f t="shared" si="9"/>
        <v>141191</v>
      </c>
      <c r="T40" s="33">
        <f t="shared" si="10"/>
        <v>30002</v>
      </c>
      <c r="U40" s="36">
        <v>30002</v>
      </c>
      <c r="V40" s="33" t="s">
        <v>50</v>
      </c>
      <c r="W40" s="33">
        <f t="shared" si="11"/>
        <v>111188</v>
      </c>
      <c r="X40" s="33"/>
      <c r="Y40" s="33">
        <v>0</v>
      </c>
      <c r="Z40" s="61">
        <f t="shared" si="12"/>
        <v>111189</v>
      </c>
      <c r="AA40" s="58"/>
      <c r="AB40" s="60"/>
      <c r="AC40" s="59"/>
    </row>
    <row r="41" spans="1:29" x14ac:dyDescent="0.25">
      <c r="A41" s="37"/>
      <c r="B41" s="38"/>
      <c r="C41" s="38"/>
      <c r="D41" s="38"/>
      <c r="E41" s="38"/>
      <c r="F41" s="38"/>
      <c r="G41" s="38"/>
      <c r="H41" s="39">
        <f t="shared" ref="H41:P41" si="13">SUM(H4:H40)</f>
        <v>15130598</v>
      </c>
      <c r="I41" s="39">
        <f t="shared" si="13"/>
        <v>2723508</v>
      </c>
      <c r="J41" s="39">
        <f t="shared" si="13"/>
        <v>17854106</v>
      </c>
      <c r="K41" s="39">
        <f t="shared" si="13"/>
        <v>357082</v>
      </c>
      <c r="L41" s="39">
        <f t="shared" si="13"/>
        <v>15130.598000000002</v>
      </c>
      <c r="M41" s="39">
        <f t="shared" si="13"/>
        <v>401717.37689999992</v>
      </c>
      <c r="N41" s="39">
        <f t="shared" si="13"/>
        <v>6808.7690999999977</v>
      </c>
      <c r="O41" s="39">
        <f t="shared" si="13"/>
        <v>394908.6078</v>
      </c>
      <c r="P41" s="39">
        <f t="shared" si="13"/>
        <v>410039</v>
      </c>
      <c r="Q41" s="40"/>
      <c r="R41" s="40">
        <f>SUM(R38:R40)</f>
        <v>0</v>
      </c>
      <c r="S41" s="39">
        <f>SUM(S4:S40)</f>
        <v>17718123</v>
      </c>
      <c r="T41" s="39">
        <f>SUM(T4:T40)</f>
        <v>3782654</v>
      </c>
      <c r="U41" s="39">
        <f>SUM(U4:U40)</f>
        <v>3782654</v>
      </c>
      <c r="V41" s="40">
        <f>SUM(V38:V40)</f>
        <v>0</v>
      </c>
      <c r="W41" s="39">
        <f>SUM(W4:W40)</f>
        <v>13935473</v>
      </c>
      <c r="X41" s="39">
        <f>SUM(X4:X40)</f>
        <v>12998298</v>
      </c>
      <c r="Y41" s="40">
        <f>SUM(Y38:Y40)</f>
        <v>0</v>
      </c>
      <c r="Z41" s="39">
        <f>SUM(Z4:Z40)</f>
        <v>937171</v>
      </c>
      <c r="AA41" s="38"/>
      <c r="AB41" s="38"/>
      <c r="AC41" s="41"/>
    </row>
    <row r="42" spans="1:29" ht="15.75" thickBot="1" x14ac:dyDescent="0.3">
      <c r="A42" s="42"/>
      <c r="B42" s="43"/>
      <c r="C42" s="43"/>
      <c r="D42" s="43"/>
      <c r="E42" s="43"/>
      <c r="F42" s="43"/>
      <c r="G42" s="43"/>
      <c r="H42" s="44">
        <f>+H41</f>
        <v>15130598</v>
      </c>
      <c r="I42" s="44">
        <f>ROUND(H42*18%,0)</f>
        <v>2723508</v>
      </c>
      <c r="J42" s="44">
        <f>+H42+I42</f>
        <v>17854106</v>
      </c>
      <c r="K42" s="44">
        <f>ROUND((H42+I42)*2%,0)</f>
        <v>357082</v>
      </c>
      <c r="L42" s="45">
        <f>ROUND(H42*0.1%,0)</f>
        <v>15131</v>
      </c>
      <c r="M42" s="45">
        <f>ROUND(H42*2.25%*118%,0)</f>
        <v>401717</v>
      </c>
      <c r="N42" s="46">
        <f>ROUND(H42*2.25%*2%,0)</f>
        <v>6809</v>
      </c>
      <c r="O42" s="45">
        <f>ROUND(M42-N42,0)</f>
        <v>394908</v>
      </c>
      <c r="P42" s="45">
        <f>ROUND(O42+L42,0)</f>
        <v>410039</v>
      </c>
      <c r="Q42" s="45"/>
      <c r="R42" s="45">
        <f>+R41</f>
        <v>0</v>
      </c>
      <c r="S42" s="44">
        <f>H42*117.65%-R42</f>
        <v>17801148.547000002</v>
      </c>
      <c r="T42" s="47"/>
      <c r="U42" s="47">
        <f>+T41-U41</f>
        <v>0</v>
      </c>
      <c r="V42" s="48"/>
      <c r="W42" s="49"/>
      <c r="X42" s="49">
        <f>+W41-X41</f>
        <v>937175</v>
      </c>
      <c r="Y42" s="48"/>
      <c r="Z42" s="48"/>
      <c r="AA42" s="43"/>
      <c r="AB42" s="43"/>
      <c r="AC42" s="50"/>
    </row>
    <row r="43" spans="1:29" x14ac:dyDescent="0.25">
      <c r="I43" s="51"/>
      <c r="J43" s="51"/>
      <c r="U43" s="53" t="s">
        <v>116</v>
      </c>
      <c r="X43" s="55" t="s">
        <v>117</v>
      </c>
    </row>
    <row r="44" spans="1:29" x14ac:dyDescent="0.25">
      <c r="U44" s="56"/>
    </row>
    <row r="46" spans="1:29" x14ac:dyDescent="0.25">
      <c r="K46" s="51"/>
    </row>
    <row r="49" spans="22:22" x14ac:dyDescent="0.25">
      <c r="V49"/>
    </row>
    <row r="50" spans="22:22" x14ac:dyDescent="0.25">
      <c r="V50"/>
    </row>
    <row r="51" spans="22:22" x14ac:dyDescent="0.25">
      <c r="V51"/>
    </row>
  </sheetData>
  <autoFilter ref="A3:AC43" xr:uid="{4379E2C7-F76E-41E9-BFE8-52B6046FAEAC}">
    <sortState ref="A4:AC43">
      <sortCondition ref="F3"/>
    </sortState>
  </autoFilter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Calculation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S.M.C</dc:creator>
  <cp:lastModifiedBy>S.M.C</cp:lastModifiedBy>
  <dcterms:created xsi:type="dcterms:W3CDTF">2026-09-02T06:08:07Z</dcterms:created>
  <dcterms:modified xsi:type="dcterms:W3CDTF">2026-09-02T07:07:40Z</dcterms:modified>
</cp:coreProperties>
</file>